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workbookPr codeName="ThisWorkbook" defaultThemeVersion="124226"/>
  <mc:AlternateContent xmlns:mc="http://schemas.openxmlformats.org/markup-compatibility/2006">
    <mc:Choice Requires="x15">
      <x15ac:absPath xmlns:x15ac="http://schemas.microsoft.com/office/spreadsheetml/2010/11/ac" url="C:\Users\data.01\Downloads\"/>
    </mc:Choice>
  </mc:AlternateContent>
  <xr:revisionPtr revIDLastSave="0" documentId="13_ncr:1_{58506935-69F9-4C74-8F31-BE4991FD593B}" xr6:coauthVersionLast="47" xr6:coauthVersionMax="47" xr10:uidLastSave="{00000000-0000-0000-0000-000000000000}"/>
  <bookViews>
    <workbookView xWindow="-120" yWindow="-120" windowWidth="24240" windowHeight="13020" tabRatio="793" firstSheet="2" activeTab="2" xr2:uid="{00000000-000D-0000-FFFF-FFFF00000000}"/>
  </bookViews>
  <sheets>
    <sheet name="Tag" sheetId="49" state="veryHidden" r:id="rId1"/>
    <sheet name="CoverPage" sheetId="59" r:id="rId2"/>
    <sheet name="Summary" sheetId="78" r:id="rId3"/>
    <sheet name="Scenario &amp; Sensitivity" sheetId="76" r:id="rId4"/>
    <sheet name="InpC" sheetId="48" r:id="rId5"/>
    <sheet name="InpS" sheetId="70" r:id="rId6"/>
    <sheet name="FinStat Act" sheetId="57" r:id="rId7"/>
    <sheet name="FinStat" sheetId="66" r:id="rId8"/>
    <sheet name="OpRev" sheetId="61" r:id="rId9"/>
    <sheet name="OpCost" sheetId="63" r:id="rId10"/>
    <sheet name="FixdAssts" sheetId="69" r:id="rId11"/>
    <sheet name="FinCosts" sheetId="71" r:id="rId12"/>
    <sheet name="Tax" sheetId="72" r:id="rId13"/>
    <sheet name="Equity" sheetId="73" r:id="rId14"/>
    <sheet name="WorkCap" sheetId="74" r:id="rId15"/>
    <sheet name="Valn" sheetId="75" r:id="rId16"/>
    <sheet name="Time" sheetId="44" r:id="rId17"/>
    <sheet name="Temp" sheetId="28"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___thinkcellJ0YAAAAAAAAAAAAA_lc4_WL7pU.xSjSTfRMi6Q" localSheetId="13" hidden="1">#REF!</definedName>
    <definedName name="___thinkcellJ0YAAAAAAAAAAAAA_lc4_WL7pU.xSjSTfRMi6Q" localSheetId="7" hidden="1">#REF!</definedName>
    <definedName name="___thinkcellJ0YAAAAAAAAAAAAA_lc4_WL7pU.xSjSTfRMi6Q" localSheetId="9" hidden="1">#REF!</definedName>
    <definedName name="___thinkcellJ0YAAAAAAAAAAAAA_lc4_WL7pU.xSjSTfRMi6Q" localSheetId="8" hidden="1">#REF!</definedName>
    <definedName name="___thinkcellJ0YAAAAAAAAAAAAA_lc4_WL7pU.xSjSTfRMi6Q" localSheetId="15" hidden="1">#REF!</definedName>
    <definedName name="___thinkcellJ0YAAAAAAAAAAAAA_lc4_WL7pU.xSjSTfRMi6Q" hidden="1">#REF!</definedName>
    <definedName name="___thinkcellJ0YAAAAAAAAAAAAA7.4ewLb3pECP0mA1qdKijA" localSheetId="13" hidden="1">#REF!</definedName>
    <definedName name="___thinkcellJ0YAAAAAAAAAAAAA7.4ewLb3pECP0mA1qdKijA" localSheetId="7" hidden="1">#REF!</definedName>
    <definedName name="___thinkcellJ0YAAAAAAAAAAAAA7.4ewLb3pECP0mA1qdKijA" localSheetId="9" hidden="1">#REF!</definedName>
    <definedName name="___thinkcellJ0YAAAAAAAAAAAAA7.4ewLb3pECP0mA1qdKijA" localSheetId="8" hidden="1">#REF!</definedName>
    <definedName name="___thinkcellJ0YAAAAAAAAAAAAA7.4ewLb3pECP0mA1qdKijA" localSheetId="15" hidden="1">#REF!</definedName>
    <definedName name="___thinkcellJ0YAAAAAAAAAAAAA7.4ewLb3pECP0mA1qdKijA" hidden="1">#REF!</definedName>
    <definedName name="___thinkcellJ0YAAAAAAAAAAAAA8aEPL804i0GvLuEvZB_OFA" localSheetId="13" hidden="1">#REF!</definedName>
    <definedName name="___thinkcellJ0YAAAAAAAAAAAAA8aEPL804i0GvLuEvZB_OFA" localSheetId="7" hidden="1">#REF!</definedName>
    <definedName name="___thinkcellJ0YAAAAAAAAAAAAA8aEPL804i0GvLuEvZB_OFA" localSheetId="9" hidden="1">#REF!</definedName>
    <definedName name="___thinkcellJ0YAAAAAAAAAAAAA8aEPL804i0GvLuEvZB_OFA" localSheetId="8" hidden="1">#REF!</definedName>
    <definedName name="___thinkcellJ0YAAAAAAAAAAAAA8aEPL804i0GvLuEvZB_OFA" localSheetId="15" hidden="1">#REF!</definedName>
    <definedName name="___thinkcellJ0YAAAAAAAAAAAAA8aEPL804i0GvLuEvZB_OFA" hidden="1">#REF!</definedName>
    <definedName name="___thinkcellJ0YAAAAAAAAAAAAAjMVZJxruSkSnsy6Y4G423A" localSheetId="13" hidden="1">#REF!</definedName>
    <definedName name="___thinkcellJ0YAAAAAAAAAAAAAjMVZJxruSkSnsy6Y4G423A" localSheetId="7" hidden="1">#REF!</definedName>
    <definedName name="___thinkcellJ0YAAAAAAAAAAAAAjMVZJxruSkSnsy6Y4G423A" localSheetId="9" hidden="1">#REF!</definedName>
    <definedName name="___thinkcellJ0YAAAAAAAAAAAAAjMVZJxruSkSnsy6Y4G423A" localSheetId="8" hidden="1">#REF!</definedName>
    <definedName name="___thinkcellJ0YAAAAAAAAAAAAAjMVZJxruSkSnsy6Y4G423A" localSheetId="15" hidden="1">#REF!</definedName>
    <definedName name="___thinkcellJ0YAAAAAAAAAAAAAjMVZJxruSkSnsy6Y4G423A" hidden="1">#REF!</definedName>
    <definedName name="___thinkcellJ0YAAAAAAAAAAAAAU1kdjwq4N02oX_aFT811Og" localSheetId="13" hidden="1">#REF!</definedName>
    <definedName name="___thinkcellJ0YAAAAAAAAAAAAAU1kdjwq4N02oX_aFT811Og" localSheetId="7" hidden="1">#REF!</definedName>
    <definedName name="___thinkcellJ0YAAAAAAAAAAAAAU1kdjwq4N02oX_aFT811Og" localSheetId="9" hidden="1">#REF!</definedName>
    <definedName name="___thinkcellJ0YAAAAAAAAAAAAAU1kdjwq4N02oX_aFT811Og" localSheetId="8" hidden="1">#REF!</definedName>
    <definedName name="___thinkcellJ0YAAAAAAAAAAAAAU1kdjwq4N02oX_aFT811Og" localSheetId="15" hidden="1">#REF!</definedName>
    <definedName name="___thinkcellJ0YAAAAAAAAAAAAAU1kdjwq4N02oX_aFT811Og" hidden="1">#REF!</definedName>
    <definedName name="___thinkcellJ0YAAAAAAAAAAAAAUNYVV6PFtkarxm4kdnl0Zw" localSheetId="13" hidden="1">#REF!</definedName>
    <definedName name="___thinkcellJ0YAAAAAAAAAAAAAUNYVV6PFtkarxm4kdnl0Zw" localSheetId="7" hidden="1">#REF!</definedName>
    <definedName name="___thinkcellJ0YAAAAAAAAAAAAAUNYVV6PFtkarxm4kdnl0Zw" localSheetId="9" hidden="1">#REF!</definedName>
    <definedName name="___thinkcellJ0YAAAAAAAAAAAAAUNYVV6PFtkarxm4kdnl0Zw" localSheetId="8" hidden="1">#REF!</definedName>
    <definedName name="___thinkcellJ0YAAAAAAAAAAAAAUNYVV6PFtkarxm4kdnl0Zw" localSheetId="15" hidden="1">#REF!</definedName>
    <definedName name="___thinkcellJ0YAAAAAAAAAAAAAUNYVV6PFtkarxm4kdnl0Zw" hidden="1">#REF!</definedName>
    <definedName name="___thinkcellJ0YAAAAAAAACAAAATHUI0wVEYUe3k.KCkVsqGA" localSheetId="13" hidden="1">#REF!</definedName>
    <definedName name="___thinkcellJ0YAAAAAAAACAAAATHUI0wVEYUe3k.KCkVsqGA" localSheetId="7" hidden="1">#REF!</definedName>
    <definedName name="___thinkcellJ0YAAAAAAAACAAAATHUI0wVEYUe3k.KCkVsqGA" localSheetId="9" hidden="1">#REF!</definedName>
    <definedName name="___thinkcellJ0YAAAAAAAACAAAATHUI0wVEYUe3k.KCkVsqGA" localSheetId="8" hidden="1">#REF!</definedName>
    <definedName name="___thinkcellJ0YAAAAAAAACAAAATHUI0wVEYUe3k.KCkVsqGA" localSheetId="15" hidden="1">#REF!</definedName>
    <definedName name="___thinkcellJ0YAAAAAAAACAAAATHUI0wVEYUe3k.KCkVsqGA" hidden="1">#REF!</definedName>
    <definedName name="__1__123Graph_AChart_10B" localSheetId="13" hidden="1">[1]OtherKPI!#REF!</definedName>
    <definedName name="__1__123Graph_AChart_10B" localSheetId="7" hidden="1">[1]OtherKPI!#REF!</definedName>
    <definedName name="__1__123Graph_AChart_10B" localSheetId="9" hidden="1">[1]OtherKPI!#REF!</definedName>
    <definedName name="__1__123Graph_AChart_10B" localSheetId="8" hidden="1">[1]OtherKPI!#REF!</definedName>
    <definedName name="__1__123Graph_AChart_10B" localSheetId="15" hidden="1">[1]OtherKPI!#REF!</definedName>
    <definedName name="__1__123Graph_AChart_10B" hidden="1">[1]OtherKPI!#REF!</definedName>
    <definedName name="__10__123Graph_AChart_20C" localSheetId="13" hidden="1">[1]OtherKPI!#REF!</definedName>
    <definedName name="__10__123Graph_AChart_20C" localSheetId="7" hidden="1">[1]OtherKPI!#REF!</definedName>
    <definedName name="__10__123Graph_AChart_20C" localSheetId="9" hidden="1">[1]OtherKPI!#REF!</definedName>
    <definedName name="__10__123Graph_AChart_20C" localSheetId="8" hidden="1">[1]OtherKPI!#REF!</definedName>
    <definedName name="__10__123Graph_AChart_20C" localSheetId="15" hidden="1">[1]OtherKPI!#REF!</definedName>
    <definedName name="__10__123Graph_AChart_20C" hidden="1">[1]OtherKPI!#REF!</definedName>
    <definedName name="__11__123Graph_AChart_21C" localSheetId="13" hidden="1">[1]OtherKPI!#REF!</definedName>
    <definedName name="__11__123Graph_AChart_21C" localSheetId="7" hidden="1">[1]OtherKPI!#REF!</definedName>
    <definedName name="__11__123Graph_AChart_21C" localSheetId="9" hidden="1">[1]OtherKPI!#REF!</definedName>
    <definedName name="__11__123Graph_AChart_21C" localSheetId="8" hidden="1">[1]OtherKPI!#REF!</definedName>
    <definedName name="__11__123Graph_AChart_21C" localSheetId="15" hidden="1">[1]OtherKPI!#REF!</definedName>
    <definedName name="__11__123Graph_AChart_21C" hidden="1">[1]OtherKPI!#REF!</definedName>
    <definedName name="__12__123Graph_AChart_22C" localSheetId="13" hidden="1">[1]OtherKPI!#REF!</definedName>
    <definedName name="__12__123Graph_AChart_22C" localSheetId="7" hidden="1">[1]OtherKPI!#REF!</definedName>
    <definedName name="__12__123Graph_AChart_22C" localSheetId="9" hidden="1">[1]OtherKPI!#REF!</definedName>
    <definedName name="__12__123Graph_AChart_22C" localSheetId="8" hidden="1">[1]OtherKPI!#REF!</definedName>
    <definedName name="__12__123Graph_AChart_22C" localSheetId="15" hidden="1">[1]OtherKPI!#REF!</definedName>
    <definedName name="__12__123Graph_AChart_22C" hidden="1">[1]OtherKPI!#REF!</definedName>
    <definedName name="__123Graph_A" hidden="1">'[2]Rooms Occ. (%)'!$A$1:$A$2</definedName>
    <definedName name="__123Graph_AChart5" localSheetId="13" hidden="1">'[3] SM 5 (i)'!#REF!</definedName>
    <definedName name="__123Graph_AChart5" localSheetId="7" hidden="1">'[3] SM 5 (i)'!#REF!</definedName>
    <definedName name="__123Graph_AChart5" localSheetId="9" hidden="1">'[3] SM 5 (i)'!#REF!</definedName>
    <definedName name="__123Graph_AChart5" localSheetId="8" hidden="1">'[3] SM 5 (i)'!#REF!</definedName>
    <definedName name="__123Graph_AChart5" localSheetId="15" hidden="1">'[3] SM 5 (i)'!#REF!</definedName>
    <definedName name="__123Graph_AChart5" hidden="1">'[3] SM 5 (i)'!#REF!</definedName>
    <definedName name="__123Graph_B" hidden="1">[4]RD!$U$130:$AR$130</definedName>
    <definedName name="__123Graph_BChart5" localSheetId="13" hidden="1">'[3] SM 5 (i)'!#REF!</definedName>
    <definedName name="__123Graph_BChart5" localSheetId="7" hidden="1">'[3] SM 5 (i)'!#REF!</definedName>
    <definedName name="__123Graph_BChart5" localSheetId="9" hidden="1">'[3] SM 5 (i)'!#REF!</definedName>
    <definedName name="__123Graph_BChart5" localSheetId="8" hidden="1">'[3] SM 5 (i)'!#REF!</definedName>
    <definedName name="__123Graph_BChart5" localSheetId="15" hidden="1">'[3] SM 5 (i)'!#REF!</definedName>
    <definedName name="__123Graph_BChart5" hidden="1">'[3] SM 5 (i)'!#REF!</definedName>
    <definedName name="__123Graph_C" localSheetId="13" hidden="1">'[5]Annexure 8'!#REF!</definedName>
    <definedName name="__123Graph_C" localSheetId="7" hidden="1">'[5]Annexure 8'!#REF!</definedName>
    <definedName name="__123Graph_C" localSheetId="9" hidden="1">'[5]Annexure 8'!#REF!</definedName>
    <definedName name="__123Graph_C" localSheetId="8" hidden="1">'[5]Annexure 8'!#REF!</definedName>
    <definedName name="__123Graph_C" localSheetId="15" hidden="1">'[5]Annexure 8'!#REF!</definedName>
    <definedName name="__123Graph_C" hidden="1">'[5]Annexure 8'!#REF!</definedName>
    <definedName name="__123Graph_CChart5" localSheetId="13" hidden="1">'[3] SM 5 (i)'!#REF!</definedName>
    <definedName name="__123Graph_CChart5" localSheetId="7" hidden="1">'[3] SM 5 (i)'!#REF!</definedName>
    <definedName name="__123Graph_CChart5" localSheetId="9" hidden="1">'[3] SM 5 (i)'!#REF!</definedName>
    <definedName name="__123Graph_CChart5" localSheetId="8" hidden="1">'[3] SM 5 (i)'!#REF!</definedName>
    <definedName name="__123Graph_CChart5" localSheetId="15" hidden="1">'[3] SM 5 (i)'!#REF!</definedName>
    <definedName name="__123Graph_CChart5" hidden="1">'[3] SM 5 (i)'!#REF!</definedName>
    <definedName name="__123Graph_D" localSheetId="13" hidden="1">'[5]Annexure 8'!#REF!</definedName>
    <definedName name="__123Graph_D" localSheetId="7" hidden="1">'[5]Annexure 8'!#REF!</definedName>
    <definedName name="__123Graph_D" localSheetId="9" hidden="1">'[5]Annexure 8'!#REF!</definedName>
    <definedName name="__123Graph_D" localSheetId="8" hidden="1">'[5]Annexure 8'!#REF!</definedName>
    <definedName name="__123Graph_D" localSheetId="15" hidden="1">'[5]Annexure 8'!#REF!</definedName>
    <definedName name="__123Graph_D" hidden="1">'[5]Annexure 8'!#REF!</definedName>
    <definedName name="__123Graph_E" localSheetId="13" hidden="1">'[5]Annexure 8'!#REF!</definedName>
    <definedName name="__123Graph_E" localSheetId="7" hidden="1">'[5]Annexure 8'!#REF!</definedName>
    <definedName name="__123Graph_E" localSheetId="9" hidden="1">'[5]Annexure 8'!#REF!</definedName>
    <definedName name="__123Graph_E" localSheetId="8" hidden="1">'[5]Annexure 8'!#REF!</definedName>
    <definedName name="__123Graph_E" localSheetId="15" hidden="1">'[5]Annexure 8'!#REF!</definedName>
    <definedName name="__123Graph_E" hidden="1">'[5]Annexure 8'!#REF!</definedName>
    <definedName name="__123Graph_F" localSheetId="13" hidden="1">'[5]Annexure 8'!#REF!</definedName>
    <definedName name="__123Graph_F" localSheetId="7" hidden="1">'[5]Annexure 8'!#REF!</definedName>
    <definedName name="__123Graph_F" localSheetId="9" hidden="1">'[5]Annexure 8'!#REF!</definedName>
    <definedName name="__123Graph_F" localSheetId="8" hidden="1">'[5]Annexure 8'!#REF!</definedName>
    <definedName name="__123Graph_F" localSheetId="15" hidden="1">'[5]Annexure 8'!#REF!</definedName>
    <definedName name="__123Graph_F" hidden="1">'[5]Annexure 8'!#REF!</definedName>
    <definedName name="__123Graph_X" hidden="1">'[6]BALANCE SHEET-GAAP'!$B$19:$B$24</definedName>
    <definedName name="__13__123Graph_AChart_23C" localSheetId="13" hidden="1">[1]OtherKPI!#REF!</definedName>
    <definedName name="__13__123Graph_AChart_23C" localSheetId="7" hidden="1">[1]OtherKPI!#REF!</definedName>
    <definedName name="__13__123Graph_AChart_23C" localSheetId="9" hidden="1">[1]OtherKPI!#REF!</definedName>
    <definedName name="__13__123Graph_AChart_23C" localSheetId="8" hidden="1">[1]OtherKPI!#REF!</definedName>
    <definedName name="__13__123Graph_AChart_23C" localSheetId="15" hidden="1">[1]OtherKPI!#REF!</definedName>
    <definedName name="__13__123Graph_AChart_23C" hidden="1">[1]OtherKPI!#REF!</definedName>
    <definedName name="__14__123Graph_AChart_24C" localSheetId="13" hidden="1">[1]OtherKPI!#REF!</definedName>
    <definedName name="__14__123Graph_AChart_24C" localSheetId="7" hidden="1">[1]OtherKPI!#REF!</definedName>
    <definedName name="__14__123Graph_AChart_24C" localSheetId="9" hidden="1">[1]OtherKPI!#REF!</definedName>
    <definedName name="__14__123Graph_AChart_24C" localSheetId="8" hidden="1">[1]OtherKPI!#REF!</definedName>
    <definedName name="__14__123Graph_AChart_24C" localSheetId="15" hidden="1">[1]OtherKPI!#REF!</definedName>
    <definedName name="__14__123Graph_AChart_24C" hidden="1">[1]OtherKPI!#REF!</definedName>
    <definedName name="__15__123Graph_AChart_25C" localSheetId="13" hidden="1">[1]OtherKPI!#REF!</definedName>
    <definedName name="__15__123Graph_AChart_25C" localSheetId="7" hidden="1">[1]OtherKPI!#REF!</definedName>
    <definedName name="__15__123Graph_AChart_25C" localSheetId="9" hidden="1">[1]OtherKPI!#REF!</definedName>
    <definedName name="__15__123Graph_AChart_25C" localSheetId="8" hidden="1">[1]OtherKPI!#REF!</definedName>
    <definedName name="__15__123Graph_AChart_25C" localSheetId="15" hidden="1">[1]OtherKPI!#REF!</definedName>
    <definedName name="__15__123Graph_AChart_25C" hidden="1">[1]OtherKPI!#REF!</definedName>
    <definedName name="__16__123Graph_AChart_26C" localSheetId="13" hidden="1">[1]OtherKPI!#REF!</definedName>
    <definedName name="__16__123Graph_AChart_26C" localSheetId="7" hidden="1">[1]OtherKPI!#REF!</definedName>
    <definedName name="__16__123Graph_AChart_26C" localSheetId="9" hidden="1">[1]OtherKPI!#REF!</definedName>
    <definedName name="__16__123Graph_AChart_26C" localSheetId="8" hidden="1">[1]OtherKPI!#REF!</definedName>
    <definedName name="__16__123Graph_AChart_26C" localSheetId="15" hidden="1">[1]OtherKPI!#REF!</definedName>
    <definedName name="__16__123Graph_AChart_26C" hidden="1">[1]OtherKPI!#REF!</definedName>
    <definedName name="__17__123Graph_AChart_27C" localSheetId="13" hidden="1">[1]OtherKPI!#REF!</definedName>
    <definedName name="__17__123Graph_AChart_27C" localSheetId="7" hidden="1">[1]OtherKPI!#REF!</definedName>
    <definedName name="__17__123Graph_AChart_27C" localSheetId="9" hidden="1">[1]OtherKPI!#REF!</definedName>
    <definedName name="__17__123Graph_AChart_27C" localSheetId="8" hidden="1">[1]OtherKPI!#REF!</definedName>
    <definedName name="__17__123Graph_AChart_27C" localSheetId="15" hidden="1">[1]OtherKPI!#REF!</definedName>
    <definedName name="__17__123Graph_AChart_27C" hidden="1">[1]OtherKPI!#REF!</definedName>
    <definedName name="__18__123Graph_AChart_2A" localSheetId="13" hidden="1">[1]OtherKPI!#REF!</definedName>
    <definedName name="__18__123Graph_AChart_2A" localSheetId="7" hidden="1">[1]OtherKPI!#REF!</definedName>
    <definedName name="__18__123Graph_AChart_2A" localSheetId="9" hidden="1">[1]OtherKPI!#REF!</definedName>
    <definedName name="__18__123Graph_AChart_2A" localSheetId="8" hidden="1">[1]OtherKPI!#REF!</definedName>
    <definedName name="__18__123Graph_AChart_2A" localSheetId="15" hidden="1">[1]OtherKPI!#REF!</definedName>
    <definedName name="__18__123Graph_AChart_2A" hidden="1">[1]OtherKPI!#REF!</definedName>
    <definedName name="__19__123Graph_AChart_3A" localSheetId="13" hidden="1">[1]OtherKPI!#REF!</definedName>
    <definedName name="__19__123Graph_AChart_3A" localSheetId="7" hidden="1">[1]OtherKPI!#REF!</definedName>
    <definedName name="__19__123Graph_AChart_3A" localSheetId="9" hidden="1">[1]OtherKPI!#REF!</definedName>
    <definedName name="__19__123Graph_AChart_3A" localSheetId="8" hidden="1">[1]OtherKPI!#REF!</definedName>
    <definedName name="__19__123Graph_AChart_3A" localSheetId="15" hidden="1">[1]OtherKPI!#REF!</definedName>
    <definedName name="__19__123Graph_AChart_3A" hidden="1">[1]OtherKPI!#REF!</definedName>
    <definedName name="__2__123Graph_AChart_11B" localSheetId="13" hidden="1">[1]OtherKPI!#REF!</definedName>
    <definedName name="__2__123Graph_AChart_11B" localSheetId="7" hidden="1">[1]OtherKPI!#REF!</definedName>
    <definedName name="__2__123Graph_AChart_11B" localSheetId="9" hidden="1">[1]OtherKPI!#REF!</definedName>
    <definedName name="__2__123Graph_AChart_11B" localSheetId="8" hidden="1">[1]OtherKPI!#REF!</definedName>
    <definedName name="__2__123Graph_AChart_11B" localSheetId="15" hidden="1">[1]OtherKPI!#REF!</definedName>
    <definedName name="__2__123Graph_AChart_11B" hidden="1">[1]OtherKPI!#REF!</definedName>
    <definedName name="__20__123Graph_AChart_4A" localSheetId="13" hidden="1">[1]OtherKPI!#REF!</definedName>
    <definedName name="__20__123Graph_AChart_4A" localSheetId="7" hidden="1">[1]OtherKPI!#REF!</definedName>
    <definedName name="__20__123Graph_AChart_4A" localSheetId="9" hidden="1">[1]OtherKPI!#REF!</definedName>
    <definedName name="__20__123Graph_AChart_4A" localSheetId="8" hidden="1">[1]OtherKPI!#REF!</definedName>
    <definedName name="__20__123Graph_AChart_4A" localSheetId="15" hidden="1">[1]OtherKPI!#REF!</definedName>
    <definedName name="__20__123Graph_AChart_4A" hidden="1">[1]OtherKPI!#REF!</definedName>
    <definedName name="__21__123Graph_AChart_5A" localSheetId="13" hidden="1">[1]OtherKPI!#REF!</definedName>
    <definedName name="__21__123Graph_AChart_5A" localSheetId="7" hidden="1">[1]OtherKPI!#REF!</definedName>
    <definedName name="__21__123Graph_AChart_5A" localSheetId="9" hidden="1">[1]OtherKPI!#REF!</definedName>
    <definedName name="__21__123Graph_AChart_5A" localSheetId="8" hidden="1">[1]OtherKPI!#REF!</definedName>
    <definedName name="__21__123Graph_AChart_5A" localSheetId="15" hidden="1">[1]OtherKPI!#REF!</definedName>
    <definedName name="__21__123Graph_AChart_5A" hidden="1">[1]OtherKPI!#REF!</definedName>
    <definedName name="__22__123Graph_AChart_6A" localSheetId="13" hidden="1">[1]OtherKPI!#REF!</definedName>
    <definedName name="__22__123Graph_AChart_6A" localSheetId="7" hidden="1">[1]OtherKPI!#REF!</definedName>
    <definedName name="__22__123Graph_AChart_6A" localSheetId="9" hidden="1">[1]OtherKPI!#REF!</definedName>
    <definedName name="__22__123Graph_AChart_6A" localSheetId="8" hidden="1">[1]OtherKPI!#REF!</definedName>
    <definedName name="__22__123Graph_AChart_6A" localSheetId="15" hidden="1">[1]OtherKPI!#REF!</definedName>
    <definedName name="__22__123Graph_AChart_6A" hidden="1">[1]OtherKPI!#REF!</definedName>
    <definedName name="__23__123Graph_AChart_7A" localSheetId="13" hidden="1">[1]OtherKPI!#REF!</definedName>
    <definedName name="__23__123Graph_AChart_7A" localSheetId="7" hidden="1">[1]OtherKPI!#REF!</definedName>
    <definedName name="__23__123Graph_AChart_7A" localSheetId="9" hidden="1">[1]OtherKPI!#REF!</definedName>
    <definedName name="__23__123Graph_AChart_7A" localSheetId="8" hidden="1">[1]OtherKPI!#REF!</definedName>
    <definedName name="__23__123Graph_AChart_7A" localSheetId="15" hidden="1">[1]OtherKPI!#REF!</definedName>
    <definedName name="__23__123Graph_AChart_7A" hidden="1">[1]OtherKPI!#REF!</definedName>
    <definedName name="__24__123Graph_AChart_8A" localSheetId="13" hidden="1">[1]OtherKPI!#REF!</definedName>
    <definedName name="__24__123Graph_AChart_8A" localSheetId="7" hidden="1">[1]OtherKPI!#REF!</definedName>
    <definedName name="__24__123Graph_AChart_8A" localSheetId="9" hidden="1">[1]OtherKPI!#REF!</definedName>
    <definedName name="__24__123Graph_AChart_8A" localSheetId="8" hidden="1">[1]OtherKPI!#REF!</definedName>
    <definedName name="__24__123Graph_AChart_8A" localSheetId="15" hidden="1">[1]OtherKPI!#REF!</definedName>
    <definedName name="__24__123Graph_AChart_8A" hidden="1">[1]OtherKPI!#REF!</definedName>
    <definedName name="__25__123Graph_AChart_9A" localSheetId="13" hidden="1">[1]OtherKPI!#REF!</definedName>
    <definedName name="__25__123Graph_AChart_9A" localSheetId="7" hidden="1">[1]OtherKPI!#REF!</definedName>
    <definedName name="__25__123Graph_AChart_9A" localSheetId="9" hidden="1">[1]OtherKPI!#REF!</definedName>
    <definedName name="__25__123Graph_AChart_9A" localSheetId="8" hidden="1">[1]OtherKPI!#REF!</definedName>
    <definedName name="__25__123Graph_AChart_9A" localSheetId="15" hidden="1">[1]OtherKPI!#REF!</definedName>
    <definedName name="__25__123Graph_AChart_9A" hidden="1">[1]OtherKPI!#REF!</definedName>
    <definedName name="__26__123Graph_BChart_12B" localSheetId="13" hidden="1">[1]OtherKPI!#REF!</definedName>
    <definedName name="__26__123Graph_BChart_12B" localSheetId="7" hidden="1">[1]OtherKPI!#REF!</definedName>
    <definedName name="__26__123Graph_BChart_12B" localSheetId="9" hidden="1">[1]OtherKPI!#REF!</definedName>
    <definedName name="__26__123Graph_BChart_12B" localSheetId="8" hidden="1">[1]OtherKPI!#REF!</definedName>
    <definedName name="__26__123Graph_BChart_12B" localSheetId="15" hidden="1">[1]OtherKPI!#REF!</definedName>
    <definedName name="__26__123Graph_BChart_12B" hidden="1">[1]OtherKPI!#REF!</definedName>
    <definedName name="__27__123Graph_BChart_13B" localSheetId="13" hidden="1">[1]OtherKPI!#REF!</definedName>
    <definedName name="__27__123Graph_BChart_13B" localSheetId="7" hidden="1">[1]OtherKPI!#REF!</definedName>
    <definedName name="__27__123Graph_BChart_13B" localSheetId="9" hidden="1">[1]OtherKPI!#REF!</definedName>
    <definedName name="__27__123Graph_BChart_13B" localSheetId="8" hidden="1">[1]OtherKPI!#REF!</definedName>
    <definedName name="__27__123Graph_BChart_13B" localSheetId="15" hidden="1">[1]OtherKPI!#REF!</definedName>
    <definedName name="__27__123Graph_BChart_13B" hidden="1">[1]OtherKPI!#REF!</definedName>
    <definedName name="__28__123Graph_BChart_16B" localSheetId="13" hidden="1">[1]OtherKPI!#REF!</definedName>
    <definedName name="__28__123Graph_BChart_16B" localSheetId="7" hidden="1">[1]OtherKPI!#REF!</definedName>
    <definedName name="__28__123Graph_BChart_16B" localSheetId="9" hidden="1">[1]OtherKPI!#REF!</definedName>
    <definedName name="__28__123Graph_BChart_16B" localSheetId="8" hidden="1">[1]OtherKPI!#REF!</definedName>
    <definedName name="__28__123Graph_BChart_16B" localSheetId="15" hidden="1">[1]OtherKPI!#REF!</definedName>
    <definedName name="__28__123Graph_BChart_16B" hidden="1">[1]OtherKPI!#REF!</definedName>
    <definedName name="__29__123Graph_BChart_17B" localSheetId="13" hidden="1">[1]OtherKPI!#REF!</definedName>
    <definedName name="__29__123Graph_BChart_17B" localSheetId="7" hidden="1">[1]OtherKPI!#REF!</definedName>
    <definedName name="__29__123Graph_BChart_17B" localSheetId="9" hidden="1">[1]OtherKPI!#REF!</definedName>
    <definedName name="__29__123Graph_BChart_17B" localSheetId="8" hidden="1">[1]OtherKPI!#REF!</definedName>
    <definedName name="__29__123Graph_BChart_17B" localSheetId="15" hidden="1">[1]OtherKPI!#REF!</definedName>
    <definedName name="__29__123Graph_BChart_17B" hidden="1">[1]OtherKPI!#REF!</definedName>
    <definedName name="__3__123Graph_AChart_12B" localSheetId="13" hidden="1">[1]OtherKPI!#REF!</definedName>
    <definedName name="__3__123Graph_AChart_12B" localSheetId="7" hidden="1">[1]OtherKPI!#REF!</definedName>
    <definedName name="__3__123Graph_AChart_12B" localSheetId="9" hidden="1">[1]OtherKPI!#REF!</definedName>
    <definedName name="__3__123Graph_AChart_12B" localSheetId="8" hidden="1">[1]OtherKPI!#REF!</definedName>
    <definedName name="__3__123Graph_AChart_12B" localSheetId="15" hidden="1">[1]OtherKPI!#REF!</definedName>
    <definedName name="__3__123Graph_AChart_12B" hidden="1">[1]OtherKPI!#REF!</definedName>
    <definedName name="__30__123Graph_BChart_18B" localSheetId="13" hidden="1">[1]OtherKPI!#REF!</definedName>
    <definedName name="__30__123Graph_BChart_18B" localSheetId="7" hidden="1">[1]OtherKPI!#REF!</definedName>
    <definedName name="__30__123Graph_BChart_18B" localSheetId="9" hidden="1">[1]OtherKPI!#REF!</definedName>
    <definedName name="__30__123Graph_BChart_18B" localSheetId="8" hidden="1">[1]OtherKPI!#REF!</definedName>
    <definedName name="__30__123Graph_BChart_18B" localSheetId="15" hidden="1">[1]OtherKPI!#REF!</definedName>
    <definedName name="__30__123Graph_BChart_18B" hidden="1">[1]OtherKPI!#REF!</definedName>
    <definedName name="__31__123Graph_BChart_21C" localSheetId="13" hidden="1">[1]OtherKPI!#REF!</definedName>
    <definedName name="__31__123Graph_BChart_21C" localSheetId="7" hidden="1">[1]OtherKPI!#REF!</definedName>
    <definedName name="__31__123Graph_BChart_21C" localSheetId="9" hidden="1">[1]OtherKPI!#REF!</definedName>
    <definedName name="__31__123Graph_BChart_21C" localSheetId="8" hidden="1">[1]OtherKPI!#REF!</definedName>
    <definedName name="__31__123Graph_BChart_21C" localSheetId="15" hidden="1">[1]OtherKPI!#REF!</definedName>
    <definedName name="__31__123Graph_BChart_21C" hidden="1">[1]OtherKPI!#REF!</definedName>
    <definedName name="__32__123Graph_BChart_22C" localSheetId="13" hidden="1">[1]OtherKPI!#REF!</definedName>
    <definedName name="__32__123Graph_BChart_22C" localSheetId="7" hidden="1">[1]OtherKPI!#REF!</definedName>
    <definedName name="__32__123Graph_BChart_22C" localSheetId="9" hidden="1">[1]OtherKPI!#REF!</definedName>
    <definedName name="__32__123Graph_BChart_22C" localSheetId="8" hidden="1">[1]OtherKPI!#REF!</definedName>
    <definedName name="__32__123Graph_BChart_22C" localSheetId="15" hidden="1">[1]OtherKPI!#REF!</definedName>
    <definedName name="__32__123Graph_BChart_22C" hidden="1">[1]OtherKPI!#REF!</definedName>
    <definedName name="__33__123Graph_BChart_23C" localSheetId="13" hidden="1">[1]OtherKPI!#REF!</definedName>
    <definedName name="__33__123Graph_BChart_23C" localSheetId="7" hidden="1">[1]OtherKPI!#REF!</definedName>
    <definedName name="__33__123Graph_BChart_23C" localSheetId="9" hidden="1">[1]OtherKPI!#REF!</definedName>
    <definedName name="__33__123Graph_BChart_23C" localSheetId="8" hidden="1">[1]OtherKPI!#REF!</definedName>
    <definedName name="__33__123Graph_BChart_23C" localSheetId="15" hidden="1">[1]OtherKPI!#REF!</definedName>
    <definedName name="__33__123Graph_BChart_23C" hidden="1">[1]OtherKPI!#REF!</definedName>
    <definedName name="__34__123Graph_BChart_24C" localSheetId="13" hidden="1">[1]OtherKPI!#REF!</definedName>
    <definedName name="__34__123Graph_BChart_24C" localSheetId="7" hidden="1">[1]OtherKPI!#REF!</definedName>
    <definedName name="__34__123Graph_BChart_24C" localSheetId="9" hidden="1">[1]OtherKPI!#REF!</definedName>
    <definedName name="__34__123Graph_BChart_24C" localSheetId="8" hidden="1">[1]OtherKPI!#REF!</definedName>
    <definedName name="__34__123Graph_BChart_24C" localSheetId="15" hidden="1">[1]OtherKPI!#REF!</definedName>
    <definedName name="__34__123Graph_BChart_24C" hidden="1">[1]OtherKPI!#REF!</definedName>
    <definedName name="__35__123Graph_BChart_25C" localSheetId="13" hidden="1">[1]OtherKPI!#REF!</definedName>
    <definedName name="__35__123Graph_BChart_25C" localSheetId="7" hidden="1">[1]OtherKPI!#REF!</definedName>
    <definedName name="__35__123Graph_BChart_25C" localSheetId="9" hidden="1">[1]OtherKPI!#REF!</definedName>
    <definedName name="__35__123Graph_BChart_25C" localSheetId="8" hidden="1">[1]OtherKPI!#REF!</definedName>
    <definedName name="__35__123Graph_BChart_25C" localSheetId="15" hidden="1">[1]OtherKPI!#REF!</definedName>
    <definedName name="__35__123Graph_BChart_25C" hidden="1">[1]OtherKPI!#REF!</definedName>
    <definedName name="__36__123Graph_BChart_26C" localSheetId="13" hidden="1">[1]OtherKPI!#REF!</definedName>
    <definedName name="__36__123Graph_BChart_26C" localSheetId="7" hidden="1">[1]OtherKPI!#REF!</definedName>
    <definedName name="__36__123Graph_BChart_26C" localSheetId="9" hidden="1">[1]OtherKPI!#REF!</definedName>
    <definedName name="__36__123Graph_BChart_26C" localSheetId="8" hidden="1">[1]OtherKPI!#REF!</definedName>
    <definedName name="__36__123Graph_BChart_26C" localSheetId="15" hidden="1">[1]OtherKPI!#REF!</definedName>
    <definedName name="__36__123Graph_BChart_26C" hidden="1">[1]OtherKPI!#REF!</definedName>
    <definedName name="__37__123Graph_BChart_27C" localSheetId="13" hidden="1">[1]OtherKPI!#REF!</definedName>
    <definedName name="__37__123Graph_BChart_27C" localSheetId="7" hidden="1">[1]OtherKPI!#REF!</definedName>
    <definedName name="__37__123Graph_BChart_27C" localSheetId="9" hidden="1">[1]OtherKPI!#REF!</definedName>
    <definedName name="__37__123Graph_BChart_27C" localSheetId="8" hidden="1">[1]OtherKPI!#REF!</definedName>
    <definedName name="__37__123Graph_BChart_27C" localSheetId="15" hidden="1">[1]OtherKPI!#REF!</definedName>
    <definedName name="__37__123Graph_BChart_27C" hidden="1">[1]OtherKPI!#REF!</definedName>
    <definedName name="__38__123Graph_BChart_3A" localSheetId="13" hidden="1">[1]OtherKPI!#REF!</definedName>
    <definedName name="__38__123Graph_BChart_3A" localSheetId="7" hidden="1">[1]OtherKPI!#REF!</definedName>
    <definedName name="__38__123Graph_BChart_3A" localSheetId="9" hidden="1">[1]OtherKPI!#REF!</definedName>
    <definedName name="__38__123Graph_BChart_3A" localSheetId="8" hidden="1">[1]OtherKPI!#REF!</definedName>
    <definedName name="__38__123Graph_BChart_3A" localSheetId="15" hidden="1">[1]OtherKPI!#REF!</definedName>
    <definedName name="__38__123Graph_BChart_3A" hidden="1">[1]OtherKPI!#REF!</definedName>
    <definedName name="__39__123Graph_BChart_4A" localSheetId="13" hidden="1">[1]OtherKPI!#REF!</definedName>
    <definedName name="__39__123Graph_BChart_4A" localSheetId="7" hidden="1">[1]OtherKPI!#REF!</definedName>
    <definedName name="__39__123Graph_BChart_4A" localSheetId="9" hidden="1">[1]OtherKPI!#REF!</definedName>
    <definedName name="__39__123Graph_BChart_4A" localSheetId="8" hidden="1">[1]OtherKPI!#REF!</definedName>
    <definedName name="__39__123Graph_BChart_4A" localSheetId="15" hidden="1">[1]OtherKPI!#REF!</definedName>
    <definedName name="__39__123Graph_BChart_4A" hidden="1">[1]OtherKPI!#REF!</definedName>
    <definedName name="__4__123Graph_AChart_13B" localSheetId="13" hidden="1">[1]OtherKPI!#REF!</definedName>
    <definedName name="__4__123Graph_AChart_13B" localSheetId="7" hidden="1">[1]OtherKPI!#REF!</definedName>
    <definedName name="__4__123Graph_AChart_13B" localSheetId="9" hidden="1">[1]OtherKPI!#REF!</definedName>
    <definedName name="__4__123Graph_AChart_13B" localSheetId="8" hidden="1">[1]OtherKPI!#REF!</definedName>
    <definedName name="__4__123Graph_AChart_13B" localSheetId="15" hidden="1">[1]OtherKPI!#REF!</definedName>
    <definedName name="__4__123Graph_AChart_13B" hidden="1">[1]OtherKPI!#REF!</definedName>
    <definedName name="__40__123Graph_BChart_5A" localSheetId="13" hidden="1">[1]OtherKPI!#REF!</definedName>
    <definedName name="__40__123Graph_BChart_5A" localSheetId="7" hidden="1">[1]OtherKPI!#REF!</definedName>
    <definedName name="__40__123Graph_BChart_5A" localSheetId="9" hidden="1">[1]OtherKPI!#REF!</definedName>
    <definedName name="__40__123Graph_BChart_5A" localSheetId="8" hidden="1">[1]OtherKPI!#REF!</definedName>
    <definedName name="__40__123Graph_BChart_5A" localSheetId="15" hidden="1">[1]OtherKPI!#REF!</definedName>
    <definedName name="__40__123Graph_BChart_5A" hidden="1">[1]OtherKPI!#REF!</definedName>
    <definedName name="__41__123Graph_BChart_6A" localSheetId="13" hidden="1">[1]OtherKPI!#REF!</definedName>
    <definedName name="__41__123Graph_BChart_6A" localSheetId="7" hidden="1">[1]OtherKPI!#REF!</definedName>
    <definedName name="__41__123Graph_BChart_6A" localSheetId="9" hidden="1">[1]OtherKPI!#REF!</definedName>
    <definedName name="__41__123Graph_BChart_6A" localSheetId="8" hidden="1">[1]OtherKPI!#REF!</definedName>
    <definedName name="__41__123Graph_BChart_6A" localSheetId="15" hidden="1">[1]OtherKPI!#REF!</definedName>
    <definedName name="__41__123Graph_BChart_6A" hidden="1">[1]OtherKPI!#REF!</definedName>
    <definedName name="__42__123Graph_BChart_7A" localSheetId="13" hidden="1">[1]OtherKPI!#REF!</definedName>
    <definedName name="__42__123Graph_BChart_7A" localSheetId="7" hidden="1">[1]OtherKPI!#REF!</definedName>
    <definedName name="__42__123Graph_BChart_7A" localSheetId="9" hidden="1">[1]OtherKPI!#REF!</definedName>
    <definedName name="__42__123Graph_BChart_7A" localSheetId="8" hidden="1">[1]OtherKPI!#REF!</definedName>
    <definedName name="__42__123Graph_BChart_7A" localSheetId="15" hidden="1">[1]OtherKPI!#REF!</definedName>
    <definedName name="__42__123Graph_BChart_7A" hidden="1">[1]OtherKPI!#REF!</definedName>
    <definedName name="__43__123Graph_BChart_8A" localSheetId="13" hidden="1">[1]OtherKPI!#REF!</definedName>
    <definedName name="__43__123Graph_BChart_8A" localSheetId="7" hidden="1">[1]OtherKPI!#REF!</definedName>
    <definedName name="__43__123Graph_BChart_8A" localSheetId="9" hidden="1">[1]OtherKPI!#REF!</definedName>
    <definedName name="__43__123Graph_BChart_8A" localSheetId="8" hidden="1">[1]OtherKPI!#REF!</definedName>
    <definedName name="__43__123Graph_BChart_8A" localSheetId="15" hidden="1">[1]OtherKPI!#REF!</definedName>
    <definedName name="__43__123Graph_BChart_8A" hidden="1">[1]OtherKPI!#REF!</definedName>
    <definedName name="__44__123Graph_BChart_9A" localSheetId="13" hidden="1">[1]OtherKPI!#REF!</definedName>
    <definedName name="__44__123Graph_BChart_9A" localSheetId="7" hidden="1">[1]OtherKPI!#REF!</definedName>
    <definedName name="__44__123Graph_BChart_9A" localSheetId="9" hidden="1">[1]OtherKPI!#REF!</definedName>
    <definedName name="__44__123Graph_BChart_9A" localSheetId="8" hidden="1">[1]OtherKPI!#REF!</definedName>
    <definedName name="__44__123Graph_BChart_9A" localSheetId="15" hidden="1">[1]OtherKPI!#REF!</definedName>
    <definedName name="__44__123Graph_BChart_9A" hidden="1">[1]OtherKPI!#REF!</definedName>
    <definedName name="__45__123Graph_CChart_13B" localSheetId="13" hidden="1">[1]OtherKPI!#REF!</definedName>
    <definedName name="__45__123Graph_CChart_13B" localSheetId="7" hidden="1">[1]OtherKPI!#REF!</definedName>
    <definedName name="__45__123Graph_CChart_13B" localSheetId="9" hidden="1">[1]OtherKPI!#REF!</definedName>
    <definedName name="__45__123Graph_CChart_13B" localSheetId="8" hidden="1">[1]OtherKPI!#REF!</definedName>
    <definedName name="__45__123Graph_CChart_13B" localSheetId="15" hidden="1">[1]OtherKPI!#REF!</definedName>
    <definedName name="__45__123Graph_CChart_13B" hidden="1">[1]OtherKPI!#REF!</definedName>
    <definedName name="__46__123Graph_CChart_16B" localSheetId="13" hidden="1">[1]OtherKPI!#REF!</definedName>
    <definedName name="__46__123Graph_CChart_16B" localSheetId="7" hidden="1">[1]OtherKPI!#REF!</definedName>
    <definedName name="__46__123Graph_CChart_16B" localSheetId="9" hidden="1">[1]OtherKPI!#REF!</definedName>
    <definedName name="__46__123Graph_CChart_16B" localSheetId="8" hidden="1">[1]OtherKPI!#REF!</definedName>
    <definedName name="__46__123Graph_CChart_16B" localSheetId="15" hidden="1">[1]OtherKPI!#REF!</definedName>
    <definedName name="__46__123Graph_CChart_16B" hidden="1">[1]OtherKPI!#REF!</definedName>
    <definedName name="__47__123Graph_CChart_17B" localSheetId="13" hidden="1">[1]OtherKPI!#REF!</definedName>
    <definedName name="__47__123Graph_CChart_17B" localSheetId="7" hidden="1">[1]OtherKPI!#REF!</definedName>
    <definedName name="__47__123Graph_CChart_17B" localSheetId="9" hidden="1">[1]OtherKPI!#REF!</definedName>
    <definedName name="__47__123Graph_CChart_17B" localSheetId="8" hidden="1">[1]OtherKPI!#REF!</definedName>
    <definedName name="__47__123Graph_CChart_17B" localSheetId="15" hidden="1">[1]OtherKPI!#REF!</definedName>
    <definedName name="__47__123Graph_CChart_17B" hidden="1">[1]OtherKPI!#REF!</definedName>
    <definedName name="__48__123Graph_CChart_22C" localSheetId="13" hidden="1">[1]OtherKPI!#REF!</definedName>
    <definedName name="__48__123Graph_CChart_22C" localSheetId="7" hidden="1">[1]OtherKPI!#REF!</definedName>
    <definedName name="__48__123Graph_CChart_22C" localSheetId="9" hidden="1">[1]OtherKPI!#REF!</definedName>
    <definedName name="__48__123Graph_CChart_22C" localSheetId="8" hidden="1">[1]OtherKPI!#REF!</definedName>
    <definedName name="__48__123Graph_CChart_22C" localSheetId="15" hidden="1">[1]OtherKPI!#REF!</definedName>
    <definedName name="__48__123Graph_CChart_22C" hidden="1">[1]OtherKPI!#REF!</definedName>
    <definedName name="__49__123Graph_CChart_23C" localSheetId="13" hidden="1">[1]OtherKPI!#REF!</definedName>
    <definedName name="__49__123Graph_CChart_23C" localSheetId="7" hidden="1">[1]OtherKPI!#REF!</definedName>
    <definedName name="__49__123Graph_CChart_23C" localSheetId="9" hidden="1">[1]OtherKPI!#REF!</definedName>
    <definedName name="__49__123Graph_CChart_23C" localSheetId="8" hidden="1">[1]OtherKPI!#REF!</definedName>
    <definedName name="__49__123Graph_CChart_23C" localSheetId="15" hidden="1">[1]OtherKPI!#REF!</definedName>
    <definedName name="__49__123Graph_CChart_23C" hidden="1">[1]OtherKPI!#REF!</definedName>
    <definedName name="__5__123Graph_AChart_16B" localSheetId="13" hidden="1">[1]OtherKPI!#REF!</definedName>
    <definedName name="__5__123Graph_AChart_16B" localSheetId="7" hidden="1">[1]OtherKPI!#REF!</definedName>
    <definedName name="__5__123Graph_AChart_16B" localSheetId="9" hidden="1">[1]OtherKPI!#REF!</definedName>
    <definedName name="__5__123Graph_AChart_16B" localSheetId="8" hidden="1">[1]OtherKPI!#REF!</definedName>
    <definedName name="__5__123Graph_AChart_16B" localSheetId="15" hidden="1">[1]OtherKPI!#REF!</definedName>
    <definedName name="__5__123Graph_AChart_16B" hidden="1">[1]OtherKPI!#REF!</definedName>
    <definedName name="__50__123Graph_CChart_24C" localSheetId="13" hidden="1">[1]OtherKPI!#REF!</definedName>
    <definedName name="__50__123Graph_CChart_24C" localSheetId="7" hidden="1">[1]OtherKPI!#REF!</definedName>
    <definedName name="__50__123Graph_CChart_24C" localSheetId="9" hidden="1">[1]OtherKPI!#REF!</definedName>
    <definedName name="__50__123Graph_CChart_24C" localSheetId="8" hidden="1">[1]OtherKPI!#REF!</definedName>
    <definedName name="__50__123Graph_CChart_24C" localSheetId="15" hidden="1">[1]OtherKPI!#REF!</definedName>
    <definedName name="__50__123Graph_CChart_24C" hidden="1">[1]OtherKPI!#REF!</definedName>
    <definedName name="__51__123Graph_CChart_25C" localSheetId="13" hidden="1">[1]OtherKPI!#REF!</definedName>
    <definedName name="__51__123Graph_CChart_25C" localSheetId="7" hidden="1">[1]OtherKPI!#REF!</definedName>
    <definedName name="__51__123Graph_CChart_25C" localSheetId="9" hidden="1">[1]OtherKPI!#REF!</definedName>
    <definedName name="__51__123Graph_CChart_25C" localSheetId="8" hidden="1">[1]OtherKPI!#REF!</definedName>
    <definedName name="__51__123Graph_CChart_25C" localSheetId="15" hidden="1">[1]OtherKPI!#REF!</definedName>
    <definedName name="__51__123Graph_CChart_25C" hidden="1">[1]OtherKPI!#REF!</definedName>
    <definedName name="__52__123Graph_CChart_26C" localSheetId="13" hidden="1">[1]OtherKPI!#REF!</definedName>
    <definedName name="__52__123Graph_CChart_26C" localSheetId="7" hidden="1">[1]OtherKPI!#REF!</definedName>
    <definedName name="__52__123Graph_CChart_26C" localSheetId="9" hidden="1">[1]OtherKPI!#REF!</definedName>
    <definedName name="__52__123Graph_CChart_26C" localSheetId="8" hidden="1">[1]OtherKPI!#REF!</definedName>
    <definedName name="__52__123Graph_CChart_26C" localSheetId="15" hidden="1">[1]OtherKPI!#REF!</definedName>
    <definedName name="__52__123Graph_CChart_26C" hidden="1">[1]OtherKPI!#REF!</definedName>
    <definedName name="__53__123Graph_CChart_4A" localSheetId="13" hidden="1">[1]OtherKPI!#REF!</definedName>
    <definedName name="__53__123Graph_CChart_4A" localSheetId="7" hidden="1">[1]OtherKPI!#REF!</definedName>
    <definedName name="__53__123Graph_CChart_4A" localSheetId="9" hidden="1">[1]OtherKPI!#REF!</definedName>
    <definedName name="__53__123Graph_CChart_4A" localSheetId="8" hidden="1">[1]OtherKPI!#REF!</definedName>
    <definedName name="__53__123Graph_CChart_4A" localSheetId="15" hidden="1">[1]OtherKPI!#REF!</definedName>
    <definedName name="__53__123Graph_CChart_4A" hidden="1">[1]OtherKPI!#REF!</definedName>
    <definedName name="__54__123Graph_CChart_5A" localSheetId="13" hidden="1">[1]OtherKPI!#REF!</definedName>
    <definedName name="__54__123Graph_CChart_5A" localSheetId="7" hidden="1">[1]OtherKPI!#REF!</definedName>
    <definedName name="__54__123Graph_CChart_5A" localSheetId="9" hidden="1">[1]OtherKPI!#REF!</definedName>
    <definedName name="__54__123Graph_CChart_5A" localSheetId="8" hidden="1">[1]OtherKPI!#REF!</definedName>
    <definedName name="__54__123Graph_CChart_5A" localSheetId="15" hidden="1">[1]OtherKPI!#REF!</definedName>
    <definedName name="__54__123Graph_CChart_5A" hidden="1">[1]OtherKPI!#REF!</definedName>
    <definedName name="__55__123Graph_CChart_6A" localSheetId="13" hidden="1">[1]OtherKPI!#REF!</definedName>
    <definedName name="__55__123Graph_CChart_6A" localSheetId="7" hidden="1">[1]OtherKPI!#REF!</definedName>
    <definedName name="__55__123Graph_CChart_6A" localSheetId="9" hidden="1">[1]OtherKPI!#REF!</definedName>
    <definedName name="__55__123Graph_CChart_6A" localSheetId="8" hidden="1">[1]OtherKPI!#REF!</definedName>
    <definedName name="__55__123Graph_CChart_6A" localSheetId="15" hidden="1">[1]OtherKPI!#REF!</definedName>
    <definedName name="__55__123Graph_CChart_6A" hidden="1">[1]OtherKPI!#REF!</definedName>
    <definedName name="__56__123Graph_CChart_7A" localSheetId="13" hidden="1">[1]OtherKPI!#REF!</definedName>
    <definedName name="__56__123Graph_CChart_7A" localSheetId="7" hidden="1">[1]OtherKPI!#REF!</definedName>
    <definedName name="__56__123Graph_CChart_7A" localSheetId="9" hidden="1">[1]OtherKPI!#REF!</definedName>
    <definedName name="__56__123Graph_CChart_7A" localSheetId="8" hidden="1">[1]OtherKPI!#REF!</definedName>
    <definedName name="__56__123Graph_CChart_7A" localSheetId="15" hidden="1">[1]OtherKPI!#REF!</definedName>
    <definedName name="__56__123Graph_CChart_7A" hidden="1">[1]OtherKPI!#REF!</definedName>
    <definedName name="__57__123Graph_CChart_8A" localSheetId="13" hidden="1">[1]OtherKPI!#REF!</definedName>
    <definedName name="__57__123Graph_CChart_8A" localSheetId="7" hidden="1">[1]OtherKPI!#REF!</definedName>
    <definedName name="__57__123Graph_CChart_8A" localSheetId="9" hidden="1">[1]OtherKPI!#REF!</definedName>
    <definedName name="__57__123Graph_CChart_8A" localSheetId="8" hidden="1">[1]OtherKPI!#REF!</definedName>
    <definedName name="__57__123Graph_CChart_8A" localSheetId="15" hidden="1">[1]OtherKPI!#REF!</definedName>
    <definedName name="__57__123Graph_CChart_8A" hidden="1">[1]OtherKPI!#REF!</definedName>
    <definedName name="__58__123Graph_DChart_13B" localSheetId="13" hidden="1">[1]OtherKPI!#REF!</definedName>
    <definedName name="__58__123Graph_DChart_13B" localSheetId="7" hidden="1">[1]OtherKPI!#REF!</definedName>
    <definedName name="__58__123Graph_DChart_13B" localSheetId="9" hidden="1">[1]OtherKPI!#REF!</definedName>
    <definedName name="__58__123Graph_DChart_13B" localSheetId="8" hidden="1">[1]OtherKPI!#REF!</definedName>
    <definedName name="__58__123Graph_DChart_13B" localSheetId="15" hidden="1">[1]OtherKPI!#REF!</definedName>
    <definedName name="__58__123Graph_DChart_13B" hidden="1">[1]OtherKPI!#REF!</definedName>
    <definedName name="__59__123Graph_DChart_16B" localSheetId="13" hidden="1">[1]OtherKPI!#REF!</definedName>
    <definedName name="__59__123Graph_DChart_16B" localSheetId="7" hidden="1">[1]OtherKPI!#REF!</definedName>
    <definedName name="__59__123Graph_DChart_16B" localSheetId="9" hidden="1">[1]OtherKPI!#REF!</definedName>
    <definedName name="__59__123Graph_DChart_16B" localSheetId="8" hidden="1">[1]OtherKPI!#REF!</definedName>
    <definedName name="__59__123Graph_DChart_16B" localSheetId="15" hidden="1">[1]OtherKPI!#REF!</definedName>
    <definedName name="__59__123Graph_DChart_16B" hidden="1">[1]OtherKPI!#REF!</definedName>
    <definedName name="__6__123Graph_AChart_17B" localSheetId="13" hidden="1">[1]OtherKPI!#REF!</definedName>
    <definedName name="__6__123Graph_AChart_17B" localSheetId="7" hidden="1">[1]OtherKPI!#REF!</definedName>
    <definedName name="__6__123Graph_AChart_17B" localSheetId="9" hidden="1">[1]OtherKPI!#REF!</definedName>
    <definedName name="__6__123Graph_AChart_17B" localSheetId="8" hidden="1">[1]OtherKPI!#REF!</definedName>
    <definedName name="__6__123Graph_AChart_17B" localSheetId="15" hidden="1">[1]OtherKPI!#REF!</definedName>
    <definedName name="__6__123Graph_AChart_17B" hidden="1">[1]OtherKPI!#REF!</definedName>
    <definedName name="__60__123Graph_DChart_17B" localSheetId="13" hidden="1">[1]OtherKPI!#REF!</definedName>
    <definedName name="__60__123Graph_DChart_17B" localSheetId="7" hidden="1">[1]OtherKPI!#REF!</definedName>
    <definedName name="__60__123Graph_DChart_17B" localSheetId="9" hidden="1">[1]OtherKPI!#REF!</definedName>
    <definedName name="__60__123Graph_DChart_17B" localSheetId="8" hidden="1">[1]OtherKPI!#REF!</definedName>
    <definedName name="__60__123Graph_DChart_17B" localSheetId="15" hidden="1">[1]OtherKPI!#REF!</definedName>
    <definedName name="__60__123Graph_DChart_17B" hidden="1">[1]OtherKPI!#REF!</definedName>
    <definedName name="__61__123Graph_DChart_22C" localSheetId="13" hidden="1">[1]OtherKPI!#REF!</definedName>
    <definedName name="__61__123Graph_DChart_22C" localSheetId="7" hidden="1">[1]OtherKPI!#REF!</definedName>
    <definedName name="__61__123Graph_DChart_22C" localSheetId="9" hidden="1">[1]OtherKPI!#REF!</definedName>
    <definedName name="__61__123Graph_DChart_22C" localSheetId="8" hidden="1">[1]OtherKPI!#REF!</definedName>
    <definedName name="__61__123Graph_DChart_22C" localSheetId="15" hidden="1">[1]OtherKPI!#REF!</definedName>
    <definedName name="__61__123Graph_DChart_22C" hidden="1">[1]OtherKPI!#REF!</definedName>
    <definedName name="__62__123Graph_DChart_23C" localSheetId="13" hidden="1">[1]OtherKPI!#REF!</definedName>
    <definedName name="__62__123Graph_DChart_23C" localSheetId="7" hidden="1">[1]OtherKPI!#REF!</definedName>
    <definedName name="__62__123Graph_DChart_23C" localSheetId="9" hidden="1">[1]OtherKPI!#REF!</definedName>
    <definedName name="__62__123Graph_DChart_23C" localSheetId="8" hidden="1">[1]OtherKPI!#REF!</definedName>
    <definedName name="__62__123Graph_DChart_23C" localSheetId="15" hidden="1">[1]OtherKPI!#REF!</definedName>
    <definedName name="__62__123Graph_DChart_23C" hidden="1">[1]OtherKPI!#REF!</definedName>
    <definedName name="__63__123Graph_DChart_24C" localSheetId="13" hidden="1">[1]OtherKPI!#REF!</definedName>
    <definedName name="__63__123Graph_DChart_24C" localSheetId="7" hidden="1">[1]OtherKPI!#REF!</definedName>
    <definedName name="__63__123Graph_DChart_24C" localSheetId="9" hidden="1">[1]OtherKPI!#REF!</definedName>
    <definedName name="__63__123Graph_DChart_24C" localSheetId="8" hidden="1">[1]OtherKPI!#REF!</definedName>
    <definedName name="__63__123Graph_DChart_24C" localSheetId="15" hidden="1">[1]OtherKPI!#REF!</definedName>
    <definedName name="__63__123Graph_DChart_24C" hidden="1">[1]OtherKPI!#REF!</definedName>
    <definedName name="__64__123Graph_DChart_25C" localSheetId="13" hidden="1">[1]OtherKPI!#REF!</definedName>
    <definedName name="__64__123Graph_DChart_25C" localSheetId="7" hidden="1">[1]OtherKPI!#REF!</definedName>
    <definedName name="__64__123Graph_DChart_25C" localSheetId="9" hidden="1">[1]OtherKPI!#REF!</definedName>
    <definedName name="__64__123Graph_DChart_25C" localSheetId="8" hidden="1">[1]OtherKPI!#REF!</definedName>
    <definedName name="__64__123Graph_DChart_25C" localSheetId="15" hidden="1">[1]OtherKPI!#REF!</definedName>
    <definedName name="__64__123Graph_DChart_25C" hidden="1">[1]OtherKPI!#REF!</definedName>
    <definedName name="__65__123Graph_DChart_26C" localSheetId="13" hidden="1">[1]OtherKPI!#REF!</definedName>
    <definedName name="__65__123Graph_DChart_26C" localSheetId="7" hidden="1">[1]OtherKPI!#REF!</definedName>
    <definedName name="__65__123Graph_DChart_26C" localSheetId="9" hidden="1">[1]OtherKPI!#REF!</definedName>
    <definedName name="__65__123Graph_DChart_26C" localSheetId="8" hidden="1">[1]OtherKPI!#REF!</definedName>
    <definedName name="__65__123Graph_DChart_26C" localSheetId="15" hidden="1">[1]OtherKPI!#REF!</definedName>
    <definedName name="__65__123Graph_DChart_26C" hidden="1">[1]OtherKPI!#REF!</definedName>
    <definedName name="__66__123Graph_DChart_4A" localSheetId="13" hidden="1">[1]OtherKPI!#REF!</definedName>
    <definedName name="__66__123Graph_DChart_4A" localSheetId="7" hidden="1">[1]OtherKPI!#REF!</definedName>
    <definedName name="__66__123Graph_DChart_4A" localSheetId="9" hidden="1">[1]OtherKPI!#REF!</definedName>
    <definedName name="__66__123Graph_DChart_4A" localSheetId="8" hidden="1">[1]OtherKPI!#REF!</definedName>
    <definedName name="__66__123Graph_DChart_4A" localSheetId="15" hidden="1">[1]OtherKPI!#REF!</definedName>
    <definedName name="__66__123Graph_DChart_4A" hidden="1">[1]OtherKPI!#REF!</definedName>
    <definedName name="__67__123Graph_DChart_5A" localSheetId="13" hidden="1">[1]OtherKPI!#REF!</definedName>
    <definedName name="__67__123Graph_DChart_5A" localSheetId="7" hidden="1">[1]OtherKPI!#REF!</definedName>
    <definedName name="__67__123Graph_DChart_5A" localSheetId="9" hidden="1">[1]OtherKPI!#REF!</definedName>
    <definedName name="__67__123Graph_DChart_5A" localSheetId="8" hidden="1">[1]OtherKPI!#REF!</definedName>
    <definedName name="__67__123Graph_DChart_5A" localSheetId="15" hidden="1">[1]OtherKPI!#REF!</definedName>
    <definedName name="__67__123Graph_DChart_5A" hidden="1">[1]OtherKPI!#REF!</definedName>
    <definedName name="__68__123Graph_DChart_6A" localSheetId="13" hidden="1">[1]OtherKPI!#REF!</definedName>
    <definedName name="__68__123Graph_DChart_6A" localSheetId="7" hidden="1">[1]OtherKPI!#REF!</definedName>
    <definedName name="__68__123Graph_DChart_6A" localSheetId="9" hidden="1">[1]OtherKPI!#REF!</definedName>
    <definedName name="__68__123Graph_DChart_6A" localSheetId="8" hidden="1">[1]OtherKPI!#REF!</definedName>
    <definedName name="__68__123Graph_DChart_6A" localSheetId="15" hidden="1">[1]OtherKPI!#REF!</definedName>
    <definedName name="__68__123Graph_DChart_6A" hidden="1">[1]OtherKPI!#REF!</definedName>
    <definedName name="__69__123Graph_DChart_7A" localSheetId="13" hidden="1">[1]OtherKPI!#REF!</definedName>
    <definedName name="__69__123Graph_DChart_7A" localSheetId="7" hidden="1">[1]OtherKPI!#REF!</definedName>
    <definedName name="__69__123Graph_DChart_7A" localSheetId="9" hidden="1">[1]OtherKPI!#REF!</definedName>
    <definedName name="__69__123Graph_DChart_7A" localSheetId="8" hidden="1">[1]OtherKPI!#REF!</definedName>
    <definedName name="__69__123Graph_DChart_7A" localSheetId="15" hidden="1">[1]OtherKPI!#REF!</definedName>
    <definedName name="__69__123Graph_DChart_7A" hidden="1">[1]OtherKPI!#REF!</definedName>
    <definedName name="__7__123Graph_AChart_18B" localSheetId="13" hidden="1">[1]OtherKPI!#REF!</definedName>
    <definedName name="__7__123Graph_AChart_18B" localSheetId="7" hidden="1">[1]OtherKPI!#REF!</definedName>
    <definedName name="__7__123Graph_AChart_18B" localSheetId="9" hidden="1">[1]OtherKPI!#REF!</definedName>
    <definedName name="__7__123Graph_AChart_18B" localSheetId="8" hidden="1">[1]OtherKPI!#REF!</definedName>
    <definedName name="__7__123Graph_AChart_18B" localSheetId="15" hidden="1">[1]OtherKPI!#REF!</definedName>
    <definedName name="__7__123Graph_AChart_18B" hidden="1">[1]OtherKPI!#REF!</definedName>
    <definedName name="__70__123Graph_DChart_8A" localSheetId="13" hidden="1">[1]OtherKPI!#REF!</definedName>
    <definedName name="__70__123Graph_DChart_8A" localSheetId="7" hidden="1">[1]OtherKPI!#REF!</definedName>
    <definedName name="__70__123Graph_DChart_8A" localSheetId="9" hidden="1">[1]OtherKPI!#REF!</definedName>
    <definedName name="__70__123Graph_DChart_8A" localSheetId="8" hidden="1">[1]OtherKPI!#REF!</definedName>
    <definedName name="__70__123Graph_DChart_8A" localSheetId="15" hidden="1">[1]OtherKPI!#REF!</definedName>
    <definedName name="__70__123Graph_DChart_8A" hidden="1">[1]OtherKPI!#REF!</definedName>
    <definedName name="__8__123Graph_AChart_19C" localSheetId="13" hidden="1">[1]OtherKPI!#REF!</definedName>
    <definedName name="__8__123Graph_AChart_19C" localSheetId="7" hidden="1">[1]OtherKPI!#REF!</definedName>
    <definedName name="__8__123Graph_AChart_19C" localSheetId="9" hidden="1">[1]OtherKPI!#REF!</definedName>
    <definedName name="__8__123Graph_AChart_19C" localSheetId="8" hidden="1">[1]OtherKPI!#REF!</definedName>
    <definedName name="__8__123Graph_AChart_19C" localSheetId="15" hidden="1">[1]OtherKPI!#REF!</definedName>
    <definedName name="__8__123Graph_AChart_19C" hidden="1">[1]OtherKPI!#REF!</definedName>
    <definedName name="__9__123Graph_AChart_1A" localSheetId="13" hidden="1">[1]OtherKPI!#REF!</definedName>
    <definedName name="__9__123Graph_AChart_1A" localSheetId="7" hidden="1">[1]OtherKPI!#REF!</definedName>
    <definedName name="__9__123Graph_AChart_1A" localSheetId="9" hidden="1">[1]OtherKPI!#REF!</definedName>
    <definedName name="__9__123Graph_AChart_1A" localSheetId="8" hidden="1">[1]OtherKPI!#REF!</definedName>
    <definedName name="__9__123Graph_AChart_1A" localSheetId="15" hidden="1">[1]OtherKPI!#REF!</definedName>
    <definedName name="__9__123Graph_AChart_1A" hidden="1">[1]OtherKPI!#REF!</definedName>
    <definedName name="_1__123Graph_AChart_10B" localSheetId="13" hidden="1">[1]OtherKPI!#REF!</definedName>
    <definedName name="_1__123Graph_AChart_10B" localSheetId="7" hidden="1">[1]OtherKPI!#REF!</definedName>
    <definedName name="_1__123Graph_AChart_10B" localSheetId="9" hidden="1">[1]OtherKPI!#REF!</definedName>
    <definedName name="_1__123Graph_AChart_10B" localSheetId="8" hidden="1">[1]OtherKPI!#REF!</definedName>
    <definedName name="_1__123Graph_AChart_10B" localSheetId="15" hidden="1">[1]OtherKPI!#REF!</definedName>
    <definedName name="_1__123Graph_AChart_10B" hidden="1">[1]OtherKPI!#REF!</definedName>
    <definedName name="_1__123Graph_AR_M_MARG" localSheetId="13" hidden="1">[7]P!#REF!</definedName>
    <definedName name="_1__123Graph_AR_M_MARG" localSheetId="7" hidden="1">[7]P!#REF!</definedName>
    <definedName name="_1__123Graph_AR_M_MARG" localSheetId="9" hidden="1">[7]P!#REF!</definedName>
    <definedName name="_1__123Graph_AR_M_MARG" localSheetId="8" hidden="1">[7]P!#REF!</definedName>
    <definedName name="_1__123Graph_AR_M_MARG" localSheetId="15" hidden="1">[7]P!#REF!</definedName>
    <definedName name="_1__123Graph_AR_M_MARG" hidden="1">[7]P!#REF!</definedName>
    <definedName name="_1_0ACwvu.Pag" localSheetId="13" hidden="1">[8]Summary!#REF!</definedName>
    <definedName name="_1_0ACwvu.Pag" localSheetId="7" hidden="1">[8]Summary!#REF!</definedName>
    <definedName name="_1_0ACwvu.Pag" localSheetId="9" hidden="1">[8]Summary!#REF!</definedName>
    <definedName name="_1_0ACwvu.Pag" localSheetId="8" hidden="1">[8]Summary!#REF!</definedName>
    <definedName name="_1_0ACwvu.Pag" localSheetId="15" hidden="1">[8]Summary!#REF!</definedName>
    <definedName name="_1_0ACwvu.Pag" hidden="1">[8]Summary!#REF!</definedName>
    <definedName name="_10__123Graph_AChart_20C" localSheetId="13" hidden="1">[1]OtherKPI!#REF!</definedName>
    <definedName name="_10__123Graph_AChart_20C" localSheetId="7" hidden="1">[1]OtherKPI!#REF!</definedName>
    <definedName name="_10__123Graph_AChart_20C" localSheetId="9" hidden="1">[1]OtherKPI!#REF!</definedName>
    <definedName name="_10__123Graph_AChart_20C" localSheetId="8" hidden="1">[1]OtherKPI!#REF!</definedName>
    <definedName name="_10__123Graph_AChart_20C" localSheetId="15" hidden="1">[1]OtherKPI!#REF!</definedName>
    <definedName name="_10__123Graph_AChart_20C" hidden="1">[1]OtherKPI!#REF!</definedName>
    <definedName name="_11__123Graph_AChart_21C" localSheetId="13" hidden="1">[1]OtherKPI!#REF!</definedName>
    <definedName name="_11__123Graph_AChart_21C" localSheetId="7" hidden="1">[1]OtherKPI!#REF!</definedName>
    <definedName name="_11__123Graph_AChart_21C" localSheetId="9" hidden="1">[1]OtherKPI!#REF!</definedName>
    <definedName name="_11__123Graph_AChart_21C" localSheetId="8" hidden="1">[1]OtherKPI!#REF!</definedName>
    <definedName name="_11__123Graph_AChart_21C" localSheetId="15" hidden="1">[1]OtherKPI!#REF!</definedName>
    <definedName name="_11__123Graph_AChart_21C" hidden="1">[1]OtherKPI!#REF!</definedName>
    <definedName name="_12__123Graph_AChart_22C" localSheetId="13" hidden="1">[1]OtherKPI!#REF!</definedName>
    <definedName name="_12__123Graph_AChart_22C" localSheetId="7" hidden="1">[1]OtherKPI!#REF!</definedName>
    <definedName name="_12__123Graph_AChart_22C" localSheetId="9" hidden="1">[1]OtherKPI!#REF!</definedName>
    <definedName name="_12__123Graph_AChart_22C" localSheetId="8" hidden="1">[1]OtherKPI!#REF!</definedName>
    <definedName name="_12__123Graph_AChart_22C" localSheetId="15" hidden="1">[1]OtherKPI!#REF!</definedName>
    <definedName name="_12__123Graph_AChart_22C" hidden="1">[1]OtherKPI!#REF!</definedName>
    <definedName name="_13__123Graph_AChart_23C" localSheetId="13" hidden="1">[1]OtherKPI!#REF!</definedName>
    <definedName name="_13__123Graph_AChart_23C" localSheetId="7" hidden="1">[1]OtherKPI!#REF!</definedName>
    <definedName name="_13__123Graph_AChart_23C" localSheetId="9" hidden="1">[1]OtherKPI!#REF!</definedName>
    <definedName name="_13__123Graph_AChart_23C" localSheetId="8" hidden="1">[1]OtherKPI!#REF!</definedName>
    <definedName name="_13__123Graph_AChart_23C" localSheetId="15" hidden="1">[1]OtherKPI!#REF!</definedName>
    <definedName name="_13__123Graph_AChart_23C" hidden="1">[1]OtherKPI!#REF!</definedName>
    <definedName name="_14__123Graph_AChart_24C" localSheetId="13" hidden="1">[1]OtherKPI!#REF!</definedName>
    <definedName name="_14__123Graph_AChart_24C" localSheetId="7" hidden="1">[1]OtherKPI!#REF!</definedName>
    <definedName name="_14__123Graph_AChart_24C" localSheetId="9" hidden="1">[1]OtherKPI!#REF!</definedName>
    <definedName name="_14__123Graph_AChart_24C" localSheetId="8" hidden="1">[1]OtherKPI!#REF!</definedName>
    <definedName name="_14__123Graph_AChart_24C" localSheetId="15" hidden="1">[1]OtherKPI!#REF!</definedName>
    <definedName name="_14__123Graph_AChart_24C" hidden="1">[1]OtherKPI!#REF!</definedName>
    <definedName name="_15__123Graph_AChart_25C" localSheetId="13" hidden="1">[1]OtherKPI!#REF!</definedName>
    <definedName name="_15__123Graph_AChart_25C" localSheetId="7" hidden="1">[1]OtherKPI!#REF!</definedName>
    <definedName name="_15__123Graph_AChart_25C" localSheetId="9" hidden="1">[1]OtherKPI!#REF!</definedName>
    <definedName name="_15__123Graph_AChart_25C" localSheetId="8" hidden="1">[1]OtherKPI!#REF!</definedName>
    <definedName name="_15__123Graph_AChart_25C" localSheetId="15" hidden="1">[1]OtherKPI!#REF!</definedName>
    <definedName name="_15__123Graph_AChart_25C" hidden="1">[1]OtherKPI!#REF!</definedName>
    <definedName name="_16__123Graph_AChart_26C" localSheetId="13" hidden="1">[1]OtherKPI!#REF!</definedName>
    <definedName name="_16__123Graph_AChart_26C" localSheetId="7" hidden="1">[1]OtherKPI!#REF!</definedName>
    <definedName name="_16__123Graph_AChart_26C" localSheetId="9" hidden="1">[1]OtherKPI!#REF!</definedName>
    <definedName name="_16__123Graph_AChart_26C" localSheetId="8" hidden="1">[1]OtherKPI!#REF!</definedName>
    <definedName name="_16__123Graph_AChart_26C" localSheetId="15" hidden="1">[1]OtherKPI!#REF!</definedName>
    <definedName name="_16__123Graph_AChart_26C" hidden="1">[1]OtherKPI!#REF!</definedName>
    <definedName name="_17__123Graph_AChart_27C" localSheetId="13" hidden="1">[1]OtherKPI!#REF!</definedName>
    <definedName name="_17__123Graph_AChart_27C" localSheetId="7" hidden="1">[1]OtherKPI!#REF!</definedName>
    <definedName name="_17__123Graph_AChart_27C" localSheetId="9" hidden="1">[1]OtherKPI!#REF!</definedName>
    <definedName name="_17__123Graph_AChart_27C" localSheetId="8" hidden="1">[1]OtherKPI!#REF!</definedName>
    <definedName name="_17__123Graph_AChart_27C" localSheetId="15" hidden="1">[1]OtherKPI!#REF!</definedName>
    <definedName name="_17__123Graph_AChart_27C" hidden="1">[1]OtherKPI!#REF!</definedName>
    <definedName name="_18__123Graph_AChart_2A" localSheetId="13" hidden="1">[1]OtherKPI!#REF!</definedName>
    <definedName name="_18__123Graph_AChart_2A" localSheetId="7" hidden="1">[1]OtherKPI!#REF!</definedName>
    <definedName name="_18__123Graph_AChart_2A" localSheetId="9" hidden="1">[1]OtherKPI!#REF!</definedName>
    <definedName name="_18__123Graph_AChart_2A" localSheetId="8" hidden="1">[1]OtherKPI!#REF!</definedName>
    <definedName name="_18__123Graph_AChart_2A" localSheetId="15" hidden="1">[1]OtherKPI!#REF!</definedName>
    <definedName name="_18__123Graph_AChart_2A" hidden="1">[1]OtherKPI!#REF!</definedName>
    <definedName name="_19__123Graph_AChart_3A" localSheetId="13" hidden="1">[1]OtherKPI!#REF!</definedName>
    <definedName name="_19__123Graph_AChart_3A" localSheetId="7" hidden="1">[1]OtherKPI!#REF!</definedName>
    <definedName name="_19__123Graph_AChart_3A" localSheetId="9" hidden="1">[1]OtherKPI!#REF!</definedName>
    <definedName name="_19__123Graph_AChart_3A" localSheetId="8" hidden="1">[1]OtherKPI!#REF!</definedName>
    <definedName name="_19__123Graph_AChart_3A" localSheetId="15" hidden="1">[1]OtherKPI!#REF!</definedName>
    <definedName name="_19__123Graph_AChart_3A" hidden="1">[1]OtherKPI!#REF!</definedName>
    <definedName name="_2__123Graph_AChart_11B" localSheetId="13" hidden="1">[1]OtherKPI!#REF!</definedName>
    <definedName name="_2__123Graph_AChart_11B" localSheetId="7" hidden="1">[1]OtherKPI!#REF!</definedName>
    <definedName name="_2__123Graph_AChart_11B" localSheetId="9" hidden="1">[1]OtherKPI!#REF!</definedName>
    <definedName name="_2__123Graph_AChart_11B" localSheetId="8" hidden="1">[1]OtherKPI!#REF!</definedName>
    <definedName name="_2__123Graph_AChart_11B" localSheetId="15" hidden="1">[1]OtherKPI!#REF!</definedName>
    <definedName name="_2__123Graph_AChart_11B" hidden="1">[1]OtherKPI!#REF!</definedName>
    <definedName name="_2__123Graph_AR_M_MARGINS" localSheetId="13" hidden="1">[9]RD!#REF!</definedName>
    <definedName name="_2__123Graph_AR_M_MARGINS" localSheetId="7" hidden="1">[9]RD!#REF!</definedName>
    <definedName name="_2__123Graph_AR_M_MARGINS" localSheetId="9" hidden="1">[9]RD!#REF!</definedName>
    <definedName name="_2__123Graph_AR_M_MARGINS" localSheetId="8" hidden="1">[9]RD!#REF!</definedName>
    <definedName name="_2__123Graph_AR_M_MARGINS" localSheetId="15" hidden="1">[9]RD!#REF!</definedName>
    <definedName name="_2__123Graph_AR_M_MARGINS" hidden="1">[9]RD!#REF!</definedName>
    <definedName name="_2_0Swvu.Pag" localSheetId="13" hidden="1">[8]Summary!#REF!</definedName>
    <definedName name="_2_0Swvu.Pag" localSheetId="7" hidden="1">[8]Summary!#REF!</definedName>
    <definedName name="_2_0Swvu.Pag" localSheetId="9" hidden="1">[8]Summary!#REF!</definedName>
    <definedName name="_2_0Swvu.Pag" localSheetId="8" hidden="1">[8]Summary!#REF!</definedName>
    <definedName name="_2_0Swvu.Pag" localSheetId="15" hidden="1">[8]Summary!#REF!</definedName>
    <definedName name="_2_0Swvu.Pag" hidden="1">[8]Summary!#REF!</definedName>
    <definedName name="_20__123Graph_AChart_4A" localSheetId="13" hidden="1">[1]OtherKPI!#REF!</definedName>
    <definedName name="_20__123Graph_AChart_4A" localSheetId="7" hidden="1">[1]OtherKPI!#REF!</definedName>
    <definedName name="_20__123Graph_AChart_4A" localSheetId="9" hidden="1">[1]OtherKPI!#REF!</definedName>
    <definedName name="_20__123Graph_AChart_4A" localSheetId="8" hidden="1">[1]OtherKPI!#REF!</definedName>
    <definedName name="_20__123Graph_AChart_4A" localSheetId="15" hidden="1">[1]OtherKPI!#REF!</definedName>
    <definedName name="_20__123Graph_AChart_4A" hidden="1">[1]OtherKPI!#REF!</definedName>
    <definedName name="_21__123Graph_AChart_5A" localSheetId="13" hidden="1">[1]OtherKPI!#REF!</definedName>
    <definedName name="_21__123Graph_AChart_5A" localSheetId="7" hidden="1">[1]OtherKPI!#REF!</definedName>
    <definedName name="_21__123Graph_AChart_5A" localSheetId="9" hidden="1">[1]OtherKPI!#REF!</definedName>
    <definedName name="_21__123Graph_AChart_5A" localSheetId="8" hidden="1">[1]OtherKPI!#REF!</definedName>
    <definedName name="_21__123Graph_AChart_5A" localSheetId="15" hidden="1">[1]OtherKPI!#REF!</definedName>
    <definedName name="_21__123Graph_AChart_5A" hidden="1">[1]OtherKPI!#REF!</definedName>
    <definedName name="_22__123Graph_AChart_6A" localSheetId="13" hidden="1">[1]OtherKPI!#REF!</definedName>
    <definedName name="_22__123Graph_AChart_6A" localSheetId="7" hidden="1">[1]OtherKPI!#REF!</definedName>
    <definedName name="_22__123Graph_AChart_6A" localSheetId="9" hidden="1">[1]OtherKPI!#REF!</definedName>
    <definedName name="_22__123Graph_AChart_6A" localSheetId="8" hidden="1">[1]OtherKPI!#REF!</definedName>
    <definedName name="_22__123Graph_AChart_6A" localSheetId="15" hidden="1">[1]OtherKPI!#REF!</definedName>
    <definedName name="_22__123Graph_AChart_6A" hidden="1">[1]OtherKPI!#REF!</definedName>
    <definedName name="_23__123Graph_AChart_7A" localSheetId="13" hidden="1">[1]OtherKPI!#REF!</definedName>
    <definedName name="_23__123Graph_AChart_7A" localSheetId="7" hidden="1">[1]OtherKPI!#REF!</definedName>
    <definedName name="_23__123Graph_AChart_7A" localSheetId="9" hidden="1">[1]OtherKPI!#REF!</definedName>
    <definedName name="_23__123Graph_AChart_7A" localSheetId="8" hidden="1">[1]OtherKPI!#REF!</definedName>
    <definedName name="_23__123Graph_AChart_7A" localSheetId="15" hidden="1">[1]OtherKPI!#REF!</definedName>
    <definedName name="_23__123Graph_AChart_7A" hidden="1">[1]OtherKPI!#REF!</definedName>
    <definedName name="_24__123Graph_AChart_8A" localSheetId="13" hidden="1">[1]OtherKPI!#REF!</definedName>
    <definedName name="_24__123Graph_AChart_8A" localSheetId="7" hidden="1">[1]OtherKPI!#REF!</definedName>
    <definedName name="_24__123Graph_AChart_8A" localSheetId="9" hidden="1">[1]OtherKPI!#REF!</definedName>
    <definedName name="_24__123Graph_AChart_8A" localSheetId="8" hidden="1">[1]OtherKPI!#REF!</definedName>
    <definedName name="_24__123Graph_AChart_8A" localSheetId="15" hidden="1">[1]OtherKPI!#REF!</definedName>
    <definedName name="_24__123Graph_AChart_8A" hidden="1">[1]OtherKPI!#REF!</definedName>
    <definedName name="_25__123Graph_AChart_9A" localSheetId="13" hidden="1">[1]OtherKPI!#REF!</definedName>
    <definedName name="_25__123Graph_AChart_9A" localSheetId="7" hidden="1">[1]OtherKPI!#REF!</definedName>
    <definedName name="_25__123Graph_AChart_9A" localSheetId="9" hidden="1">[1]OtherKPI!#REF!</definedName>
    <definedName name="_25__123Graph_AChart_9A" localSheetId="8" hidden="1">[1]OtherKPI!#REF!</definedName>
    <definedName name="_25__123Graph_AChart_9A" localSheetId="15" hidden="1">[1]OtherKPI!#REF!</definedName>
    <definedName name="_25__123Graph_AChart_9A" hidden="1">[1]OtherKPI!#REF!</definedName>
    <definedName name="_26__123Graph_BChart_12B" localSheetId="13" hidden="1">[1]OtherKPI!#REF!</definedName>
    <definedName name="_26__123Graph_BChart_12B" localSheetId="7" hidden="1">[1]OtherKPI!#REF!</definedName>
    <definedName name="_26__123Graph_BChart_12B" localSheetId="9" hidden="1">[1]OtherKPI!#REF!</definedName>
    <definedName name="_26__123Graph_BChart_12B" localSheetId="8" hidden="1">[1]OtherKPI!#REF!</definedName>
    <definedName name="_26__123Graph_BChart_12B" localSheetId="15" hidden="1">[1]OtherKPI!#REF!</definedName>
    <definedName name="_26__123Graph_BChart_12B" hidden="1">[1]OtherKPI!#REF!</definedName>
    <definedName name="_27__123Graph_BChart_13B" localSheetId="13" hidden="1">[1]OtherKPI!#REF!</definedName>
    <definedName name="_27__123Graph_BChart_13B" localSheetId="7" hidden="1">[1]OtherKPI!#REF!</definedName>
    <definedName name="_27__123Graph_BChart_13B" localSheetId="9" hidden="1">[1]OtherKPI!#REF!</definedName>
    <definedName name="_27__123Graph_BChart_13B" localSheetId="8" hidden="1">[1]OtherKPI!#REF!</definedName>
    <definedName name="_27__123Graph_BChart_13B" localSheetId="15" hidden="1">[1]OtherKPI!#REF!</definedName>
    <definedName name="_27__123Graph_BChart_13B" hidden="1">[1]OtherKPI!#REF!</definedName>
    <definedName name="_28__123Graph_BChart_16B" localSheetId="13" hidden="1">[1]OtherKPI!#REF!</definedName>
    <definedName name="_28__123Graph_BChart_16B" localSheetId="7" hidden="1">[1]OtherKPI!#REF!</definedName>
    <definedName name="_28__123Graph_BChart_16B" localSheetId="9" hidden="1">[1]OtherKPI!#REF!</definedName>
    <definedName name="_28__123Graph_BChart_16B" localSheetId="8" hidden="1">[1]OtherKPI!#REF!</definedName>
    <definedName name="_28__123Graph_BChart_16B" localSheetId="15" hidden="1">[1]OtherKPI!#REF!</definedName>
    <definedName name="_28__123Graph_BChart_16B" hidden="1">[1]OtherKPI!#REF!</definedName>
    <definedName name="_29__123Graph_BChart_17B" localSheetId="13" hidden="1">[1]OtherKPI!#REF!</definedName>
    <definedName name="_29__123Graph_BChart_17B" localSheetId="7" hidden="1">[1]OtherKPI!#REF!</definedName>
    <definedName name="_29__123Graph_BChart_17B" localSheetId="9" hidden="1">[1]OtherKPI!#REF!</definedName>
    <definedName name="_29__123Graph_BChart_17B" localSheetId="8" hidden="1">[1]OtherKPI!#REF!</definedName>
    <definedName name="_29__123Graph_BChart_17B" localSheetId="15" hidden="1">[1]OtherKPI!#REF!</definedName>
    <definedName name="_29__123Graph_BChart_17B" hidden="1">[1]OtherKPI!#REF!</definedName>
    <definedName name="_3__123Graph_AChart_12B" localSheetId="13" hidden="1">[1]OtherKPI!#REF!</definedName>
    <definedName name="_3__123Graph_AChart_12B" localSheetId="7" hidden="1">[1]OtherKPI!#REF!</definedName>
    <definedName name="_3__123Graph_AChart_12B" localSheetId="9" hidden="1">[1]OtherKPI!#REF!</definedName>
    <definedName name="_3__123Graph_AChart_12B" localSheetId="8" hidden="1">[1]OtherKPI!#REF!</definedName>
    <definedName name="_3__123Graph_AChart_12B" localSheetId="15" hidden="1">[1]OtherKPI!#REF!</definedName>
    <definedName name="_3__123Graph_AChart_12B" hidden="1">[1]OtherKPI!#REF!</definedName>
    <definedName name="_3__123Graph_AR_M_VOLUMES" localSheetId="13" hidden="1">[9]RD!#REF!</definedName>
    <definedName name="_3__123Graph_AR_M_VOLUMES" localSheetId="7" hidden="1">[9]RD!#REF!</definedName>
    <definedName name="_3__123Graph_AR_M_VOLUMES" localSheetId="9" hidden="1">[9]RD!#REF!</definedName>
    <definedName name="_3__123Graph_AR_M_VOLUMES" localSheetId="8" hidden="1">[9]RD!#REF!</definedName>
    <definedName name="_3__123Graph_AR_M_VOLUMES" localSheetId="15" hidden="1">[9]RD!#REF!</definedName>
    <definedName name="_3__123Graph_AR_M_VOLUMES" hidden="1">[9]RD!#REF!</definedName>
    <definedName name="_3_0Rwvu.Pag" localSheetId="13" hidden="1">[8]Summary!#REF!</definedName>
    <definedName name="_3_0Rwvu.Pag" localSheetId="7" hidden="1">[8]Summary!#REF!</definedName>
    <definedName name="_3_0Rwvu.Pag" localSheetId="9" hidden="1">[8]Summary!#REF!</definedName>
    <definedName name="_3_0Rwvu.Pag" localSheetId="8" hidden="1">[8]Summary!#REF!</definedName>
    <definedName name="_3_0Rwvu.Pag" localSheetId="15" hidden="1">[8]Summary!#REF!</definedName>
    <definedName name="_3_0Rwvu.Pag" hidden="1">[8]Summary!#REF!</definedName>
    <definedName name="_30__123Graph_BChart_18B" localSheetId="13" hidden="1">[1]OtherKPI!#REF!</definedName>
    <definedName name="_30__123Graph_BChart_18B" localSheetId="7" hidden="1">[1]OtherKPI!#REF!</definedName>
    <definedName name="_30__123Graph_BChart_18B" localSheetId="9" hidden="1">[1]OtherKPI!#REF!</definedName>
    <definedName name="_30__123Graph_BChart_18B" localSheetId="8" hidden="1">[1]OtherKPI!#REF!</definedName>
    <definedName name="_30__123Graph_BChart_18B" localSheetId="15" hidden="1">[1]OtherKPI!#REF!</definedName>
    <definedName name="_30__123Graph_BChart_18B" hidden="1">[1]OtherKPI!#REF!</definedName>
    <definedName name="_31__123Graph_BChart_21C" localSheetId="13" hidden="1">[1]OtherKPI!#REF!</definedName>
    <definedName name="_31__123Graph_BChart_21C" localSheetId="7" hidden="1">[1]OtherKPI!#REF!</definedName>
    <definedName name="_31__123Graph_BChart_21C" localSheetId="9" hidden="1">[1]OtherKPI!#REF!</definedName>
    <definedName name="_31__123Graph_BChart_21C" localSheetId="8" hidden="1">[1]OtherKPI!#REF!</definedName>
    <definedName name="_31__123Graph_BChart_21C" localSheetId="15" hidden="1">[1]OtherKPI!#REF!</definedName>
    <definedName name="_31__123Graph_BChart_21C" hidden="1">[1]OtherKPI!#REF!</definedName>
    <definedName name="_32__123Graph_BChart_22C" localSheetId="13" hidden="1">[1]OtherKPI!#REF!</definedName>
    <definedName name="_32__123Graph_BChart_22C" localSheetId="7" hidden="1">[1]OtherKPI!#REF!</definedName>
    <definedName name="_32__123Graph_BChart_22C" localSheetId="9" hidden="1">[1]OtherKPI!#REF!</definedName>
    <definedName name="_32__123Graph_BChart_22C" localSheetId="8" hidden="1">[1]OtherKPI!#REF!</definedName>
    <definedName name="_32__123Graph_BChart_22C" localSheetId="15" hidden="1">[1]OtherKPI!#REF!</definedName>
    <definedName name="_32__123Graph_BChart_22C" hidden="1">[1]OtherKPI!#REF!</definedName>
    <definedName name="_33__123Graph_BChart_23C" localSheetId="13" hidden="1">[1]OtherKPI!#REF!</definedName>
    <definedName name="_33__123Graph_BChart_23C" localSheetId="7" hidden="1">[1]OtherKPI!#REF!</definedName>
    <definedName name="_33__123Graph_BChart_23C" localSheetId="9" hidden="1">[1]OtherKPI!#REF!</definedName>
    <definedName name="_33__123Graph_BChart_23C" localSheetId="8" hidden="1">[1]OtherKPI!#REF!</definedName>
    <definedName name="_33__123Graph_BChart_23C" localSheetId="15" hidden="1">[1]OtherKPI!#REF!</definedName>
    <definedName name="_33__123Graph_BChart_23C" hidden="1">[1]OtherKPI!#REF!</definedName>
    <definedName name="_34__123Graph_BChart_24C" localSheetId="13" hidden="1">[1]OtherKPI!#REF!</definedName>
    <definedName name="_34__123Graph_BChart_24C" localSheetId="7" hidden="1">[1]OtherKPI!#REF!</definedName>
    <definedName name="_34__123Graph_BChart_24C" localSheetId="9" hidden="1">[1]OtherKPI!#REF!</definedName>
    <definedName name="_34__123Graph_BChart_24C" localSheetId="8" hidden="1">[1]OtherKPI!#REF!</definedName>
    <definedName name="_34__123Graph_BChart_24C" localSheetId="15" hidden="1">[1]OtherKPI!#REF!</definedName>
    <definedName name="_34__123Graph_BChart_24C" hidden="1">[1]OtherKPI!#REF!</definedName>
    <definedName name="_35__123Graph_BChart_25C" localSheetId="13" hidden="1">[1]OtherKPI!#REF!</definedName>
    <definedName name="_35__123Graph_BChart_25C" localSheetId="7" hidden="1">[1]OtherKPI!#REF!</definedName>
    <definedName name="_35__123Graph_BChart_25C" localSheetId="9" hidden="1">[1]OtherKPI!#REF!</definedName>
    <definedName name="_35__123Graph_BChart_25C" localSheetId="8" hidden="1">[1]OtherKPI!#REF!</definedName>
    <definedName name="_35__123Graph_BChart_25C" localSheetId="15" hidden="1">[1]OtherKPI!#REF!</definedName>
    <definedName name="_35__123Graph_BChart_25C" hidden="1">[1]OtherKPI!#REF!</definedName>
    <definedName name="_36__123Graph_BChart_26C" localSheetId="13" hidden="1">[1]OtherKPI!#REF!</definedName>
    <definedName name="_36__123Graph_BChart_26C" localSheetId="7" hidden="1">[1]OtherKPI!#REF!</definedName>
    <definedName name="_36__123Graph_BChart_26C" localSheetId="9" hidden="1">[1]OtherKPI!#REF!</definedName>
    <definedName name="_36__123Graph_BChart_26C" localSheetId="8" hidden="1">[1]OtherKPI!#REF!</definedName>
    <definedName name="_36__123Graph_BChart_26C" localSheetId="15" hidden="1">[1]OtherKPI!#REF!</definedName>
    <definedName name="_36__123Graph_BChart_26C" hidden="1">[1]OtherKPI!#REF!</definedName>
    <definedName name="_37__123Graph_BChart_27C" localSheetId="13" hidden="1">[1]OtherKPI!#REF!</definedName>
    <definedName name="_37__123Graph_BChart_27C" localSheetId="7" hidden="1">[1]OtherKPI!#REF!</definedName>
    <definedName name="_37__123Graph_BChart_27C" localSheetId="9" hidden="1">[1]OtherKPI!#REF!</definedName>
    <definedName name="_37__123Graph_BChart_27C" localSheetId="8" hidden="1">[1]OtherKPI!#REF!</definedName>
    <definedName name="_37__123Graph_BChart_27C" localSheetId="15" hidden="1">[1]OtherKPI!#REF!</definedName>
    <definedName name="_37__123Graph_BChart_27C" hidden="1">[1]OtherKPI!#REF!</definedName>
    <definedName name="_38__123Graph_BChart_3A" localSheetId="13" hidden="1">[1]OtherKPI!#REF!</definedName>
    <definedName name="_38__123Graph_BChart_3A" localSheetId="7" hidden="1">[1]OtherKPI!#REF!</definedName>
    <definedName name="_38__123Graph_BChart_3A" localSheetId="9" hidden="1">[1]OtherKPI!#REF!</definedName>
    <definedName name="_38__123Graph_BChart_3A" localSheetId="8" hidden="1">[1]OtherKPI!#REF!</definedName>
    <definedName name="_38__123Graph_BChart_3A" localSheetId="15" hidden="1">[1]OtherKPI!#REF!</definedName>
    <definedName name="_38__123Graph_BChart_3A" hidden="1">[1]OtherKPI!#REF!</definedName>
    <definedName name="_39__123Graph_BChart_4A" localSheetId="13" hidden="1">[1]OtherKPI!#REF!</definedName>
    <definedName name="_39__123Graph_BChart_4A" localSheetId="7" hidden="1">[1]OtherKPI!#REF!</definedName>
    <definedName name="_39__123Graph_BChart_4A" localSheetId="9" hidden="1">[1]OtherKPI!#REF!</definedName>
    <definedName name="_39__123Graph_BChart_4A" localSheetId="8" hidden="1">[1]OtherKPI!#REF!</definedName>
    <definedName name="_39__123Graph_BChart_4A" localSheetId="15" hidden="1">[1]OtherKPI!#REF!</definedName>
    <definedName name="_39__123Graph_BChart_4A" hidden="1">[1]OtherKPI!#REF!</definedName>
    <definedName name="_4__123Graph_AChart_13B" localSheetId="13" hidden="1">[1]OtherKPI!#REF!</definedName>
    <definedName name="_4__123Graph_AChart_13B" localSheetId="7" hidden="1">[1]OtherKPI!#REF!</definedName>
    <definedName name="_4__123Graph_AChart_13B" localSheetId="9" hidden="1">[1]OtherKPI!#REF!</definedName>
    <definedName name="_4__123Graph_AChart_13B" localSheetId="8" hidden="1">[1]OtherKPI!#REF!</definedName>
    <definedName name="_4__123Graph_AChart_13B" localSheetId="15" hidden="1">[1]OtherKPI!#REF!</definedName>
    <definedName name="_4__123Graph_AChart_13B" hidden="1">[1]OtherKPI!#REF!</definedName>
    <definedName name="_4__123Graph_BR_M_MARGINS" hidden="1">[4]RD!$U$130:$AR$130</definedName>
    <definedName name="_40__123Graph_BChart_5A" localSheetId="13" hidden="1">[1]OtherKPI!#REF!</definedName>
    <definedName name="_40__123Graph_BChart_5A" localSheetId="7" hidden="1">[1]OtherKPI!#REF!</definedName>
    <definedName name="_40__123Graph_BChart_5A" localSheetId="9" hidden="1">[1]OtherKPI!#REF!</definedName>
    <definedName name="_40__123Graph_BChart_5A" localSheetId="8" hidden="1">[1]OtherKPI!#REF!</definedName>
    <definedName name="_40__123Graph_BChart_5A" localSheetId="15" hidden="1">[1]OtherKPI!#REF!</definedName>
    <definedName name="_40__123Graph_BChart_5A" hidden="1">[1]OtherKPI!#REF!</definedName>
    <definedName name="_41__123Graph_BChart_6A" localSheetId="13" hidden="1">[1]OtherKPI!#REF!</definedName>
    <definedName name="_41__123Graph_BChart_6A" localSheetId="7" hidden="1">[1]OtherKPI!#REF!</definedName>
    <definedName name="_41__123Graph_BChart_6A" localSheetId="9" hidden="1">[1]OtherKPI!#REF!</definedName>
    <definedName name="_41__123Graph_BChart_6A" localSheetId="8" hidden="1">[1]OtherKPI!#REF!</definedName>
    <definedName name="_41__123Graph_BChart_6A" localSheetId="15" hidden="1">[1]OtherKPI!#REF!</definedName>
    <definedName name="_41__123Graph_BChart_6A" hidden="1">[1]OtherKPI!#REF!</definedName>
    <definedName name="_42__123Graph_BChart_7A" localSheetId="13" hidden="1">[1]OtherKPI!#REF!</definedName>
    <definedName name="_42__123Graph_BChart_7A" localSheetId="7" hidden="1">[1]OtherKPI!#REF!</definedName>
    <definedName name="_42__123Graph_BChart_7A" localSheetId="9" hidden="1">[1]OtherKPI!#REF!</definedName>
    <definedName name="_42__123Graph_BChart_7A" localSheetId="8" hidden="1">[1]OtherKPI!#REF!</definedName>
    <definedName name="_42__123Graph_BChart_7A" localSheetId="15" hidden="1">[1]OtherKPI!#REF!</definedName>
    <definedName name="_42__123Graph_BChart_7A" hidden="1">[1]OtherKPI!#REF!</definedName>
    <definedName name="_43__123Graph_BChart_8A" localSheetId="13" hidden="1">[1]OtherKPI!#REF!</definedName>
    <definedName name="_43__123Graph_BChart_8A" localSheetId="7" hidden="1">[1]OtherKPI!#REF!</definedName>
    <definedName name="_43__123Graph_BChart_8A" localSheetId="9" hidden="1">[1]OtherKPI!#REF!</definedName>
    <definedName name="_43__123Graph_BChart_8A" localSheetId="8" hidden="1">[1]OtherKPI!#REF!</definedName>
    <definedName name="_43__123Graph_BChart_8A" localSheetId="15" hidden="1">[1]OtherKPI!#REF!</definedName>
    <definedName name="_43__123Graph_BChart_8A" hidden="1">[1]OtherKPI!#REF!</definedName>
    <definedName name="_44__123Graph_BChart_9A" localSheetId="13" hidden="1">[1]OtherKPI!#REF!</definedName>
    <definedName name="_44__123Graph_BChart_9A" localSheetId="7" hidden="1">[1]OtherKPI!#REF!</definedName>
    <definedName name="_44__123Graph_BChart_9A" localSheetId="9" hidden="1">[1]OtherKPI!#REF!</definedName>
    <definedName name="_44__123Graph_BChart_9A" localSheetId="8" hidden="1">[1]OtherKPI!#REF!</definedName>
    <definedName name="_44__123Graph_BChart_9A" localSheetId="15" hidden="1">[1]OtherKPI!#REF!</definedName>
    <definedName name="_44__123Graph_BChart_9A" hidden="1">[1]OtherKPI!#REF!</definedName>
    <definedName name="_45__123Graph_CChart_13B" localSheetId="13" hidden="1">[1]OtherKPI!#REF!</definedName>
    <definedName name="_45__123Graph_CChart_13B" localSheetId="7" hidden="1">[1]OtherKPI!#REF!</definedName>
    <definedName name="_45__123Graph_CChart_13B" localSheetId="9" hidden="1">[1]OtherKPI!#REF!</definedName>
    <definedName name="_45__123Graph_CChart_13B" localSheetId="8" hidden="1">[1]OtherKPI!#REF!</definedName>
    <definedName name="_45__123Graph_CChart_13B" localSheetId="15" hidden="1">[1]OtherKPI!#REF!</definedName>
    <definedName name="_45__123Graph_CChart_13B" hidden="1">[1]OtherKPI!#REF!</definedName>
    <definedName name="_46__123Graph_CChart_16B" localSheetId="13" hidden="1">[1]OtherKPI!#REF!</definedName>
    <definedName name="_46__123Graph_CChart_16B" localSheetId="7" hidden="1">[1]OtherKPI!#REF!</definedName>
    <definedName name="_46__123Graph_CChart_16B" localSheetId="9" hidden="1">[1]OtherKPI!#REF!</definedName>
    <definedName name="_46__123Graph_CChart_16B" localSheetId="8" hidden="1">[1]OtherKPI!#REF!</definedName>
    <definedName name="_46__123Graph_CChart_16B" localSheetId="15" hidden="1">[1]OtherKPI!#REF!</definedName>
    <definedName name="_46__123Graph_CChart_16B" hidden="1">[1]OtherKPI!#REF!</definedName>
    <definedName name="_47__123Graph_CChart_17B" localSheetId="13" hidden="1">[1]OtherKPI!#REF!</definedName>
    <definedName name="_47__123Graph_CChart_17B" localSheetId="7" hidden="1">[1]OtherKPI!#REF!</definedName>
    <definedName name="_47__123Graph_CChart_17B" localSheetId="9" hidden="1">[1]OtherKPI!#REF!</definedName>
    <definedName name="_47__123Graph_CChart_17B" localSheetId="8" hidden="1">[1]OtherKPI!#REF!</definedName>
    <definedName name="_47__123Graph_CChart_17B" localSheetId="15" hidden="1">[1]OtherKPI!#REF!</definedName>
    <definedName name="_47__123Graph_CChart_17B" hidden="1">[1]OtherKPI!#REF!</definedName>
    <definedName name="_48__123Graph_CChart_22C" localSheetId="13" hidden="1">[1]OtherKPI!#REF!</definedName>
    <definedName name="_48__123Graph_CChart_22C" localSheetId="7" hidden="1">[1]OtherKPI!#REF!</definedName>
    <definedName name="_48__123Graph_CChart_22C" localSheetId="9" hidden="1">[1]OtherKPI!#REF!</definedName>
    <definedName name="_48__123Graph_CChart_22C" localSheetId="8" hidden="1">[1]OtherKPI!#REF!</definedName>
    <definedName name="_48__123Graph_CChart_22C" localSheetId="15" hidden="1">[1]OtherKPI!#REF!</definedName>
    <definedName name="_48__123Graph_CChart_22C" hidden="1">[1]OtherKPI!#REF!</definedName>
    <definedName name="_49__123Graph_CChart_23C" localSheetId="13" hidden="1">[1]OtherKPI!#REF!</definedName>
    <definedName name="_49__123Graph_CChart_23C" localSheetId="7" hidden="1">[1]OtherKPI!#REF!</definedName>
    <definedName name="_49__123Graph_CChart_23C" localSheetId="9" hidden="1">[1]OtherKPI!#REF!</definedName>
    <definedName name="_49__123Graph_CChart_23C" localSheetId="8" hidden="1">[1]OtherKPI!#REF!</definedName>
    <definedName name="_49__123Graph_CChart_23C" localSheetId="15" hidden="1">[1]OtherKPI!#REF!</definedName>
    <definedName name="_49__123Graph_CChart_23C" hidden="1">[1]OtherKPI!#REF!</definedName>
    <definedName name="_5__123Graph_AChart_16B" localSheetId="13" hidden="1">[1]OtherKPI!#REF!</definedName>
    <definedName name="_5__123Graph_AChart_16B" localSheetId="7" hidden="1">[1]OtherKPI!#REF!</definedName>
    <definedName name="_5__123Graph_AChart_16B" localSheetId="9" hidden="1">[1]OtherKPI!#REF!</definedName>
    <definedName name="_5__123Graph_AChart_16B" localSheetId="8" hidden="1">[1]OtherKPI!#REF!</definedName>
    <definedName name="_5__123Graph_AChart_16B" localSheetId="15" hidden="1">[1]OtherKPI!#REF!</definedName>
    <definedName name="_5__123Graph_AChart_16B" hidden="1">[1]OtherKPI!#REF!</definedName>
    <definedName name="_5__123Graph_BR_M_VOLUMES" hidden="1">[4]RD!$U$123:$AR$123</definedName>
    <definedName name="_50__123Graph_CChart_24C" localSheetId="13" hidden="1">[1]OtherKPI!#REF!</definedName>
    <definedName name="_50__123Graph_CChart_24C" localSheetId="7" hidden="1">[1]OtherKPI!#REF!</definedName>
    <definedName name="_50__123Graph_CChart_24C" localSheetId="9" hidden="1">[1]OtherKPI!#REF!</definedName>
    <definedName name="_50__123Graph_CChart_24C" localSheetId="8" hidden="1">[1]OtherKPI!#REF!</definedName>
    <definedName name="_50__123Graph_CChart_24C" localSheetId="15" hidden="1">[1]OtherKPI!#REF!</definedName>
    <definedName name="_50__123Graph_CChart_24C" hidden="1">[1]OtherKPI!#REF!</definedName>
    <definedName name="_51__123Graph_CChart_25C" localSheetId="13" hidden="1">[1]OtherKPI!#REF!</definedName>
    <definedName name="_51__123Graph_CChart_25C" localSheetId="7" hidden="1">[1]OtherKPI!#REF!</definedName>
    <definedName name="_51__123Graph_CChart_25C" localSheetId="9" hidden="1">[1]OtherKPI!#REF!</definedName>
    <definedName name="_51__123Graph_CChart_25C" localSheetId="8" hidden="1">[1]OtherKPI!#REF!</definedName>
    <definedName name="_51__123Graph_CChart_25C" localSheetId="15" hidden="1">[1]OtherKPI!#REF!</definedName>
    <definedName name="_51__123Graph_CChart_25C" hidden="1">[1]OtherKPI!#REF!</definedName>
    <definedName name="_52__123Graph_CChart_26C" localSheetId="13" hidden="1">[1]OtherKPI!#REF!</definedName>
    <definedName name="_52__123Graph_CChart_26C" localSheetId="7" hidden="1">[1]OtherKPI!#REF!</definedName>
    <definedName name="_52__123Graph_CChart_26C" localSheetId="9" hidden="1">[1]OtherKPI!#REF!</definedName>
    <definedName name="_52__123Graph_CChart_26C" localSheetId="8" hidden="1">[1]OtherKPI!#REF!</definedName>
    <definedName name="_52__123Graph_CChart_26C" localSheetId="15" hidden="1">[1]OtherKPI!#REF!</definedName>
    <definedName name="_52__123Graph_CChart_26C" hidden="1">[1]OtherKPI!#REF!</definedName>
    <definedName name="_53__123Graph_CChart_4A" localSheetId="13" hidden="1">[1]OtherKPI!#REF!</definedName>
    <definedName name="_53__123Graph_CChart_4A" localSheetId="7" hidden="1">[1]OtherKPI!#REF!</definedName>
    <definedName name="_53__123Graph_CChart_4A" localSheetId="9" hidden="1">[1]OtherKPI!#REF!</definedName>
    <definedName name="_53__123Graph_CChart_4A" localSheetId="8" hidden="1">[1]OtherKPI!#REF!</definedName>
    <definedName name="_53__123Graph_CChart_4A" localSheetId="15" hidden="1">[1]OtherKPI!#REF!</definedName>
    <definedName name="_53__123Graph_CChart_4A" hidden="1">[1]OtherKPI!#REF!</definedName>
    <definedName name="_54__123Graph_CChart_5A" localSheetId="13" hidden="1">[1]OtherKPI!#REF!</definedName>
    <definedName name="_54__123Graph_CChart_5A" localSheetId="7" hidden="1">[1]OtherKPI!#REF!</definedName>
    <definedName name="_54__123Graph_CChart_5A" localSheetId="9" hidden="1">[1]OtherKPI!#REF!</definedName>
    <definedName name="_54__123Graph_CChart_5A" localSheetId="8" hidden="1">[1]OtherKPI!#REF!</definedName>
    <definedName name="_54__123Graph_CChart_5A" localSheetId="15" hidden="1">[1]OtherKPI!#REF!</definedName>
    <definedName name="_54__123Graph_CChart_5A" hidden="1">[1]OtherKPI!#REF!</definedName>
    <definedName name="_55__123Graph_CChart_6A" localSheetId="13" hidden="1">[1]OtherKPI!#REF!</definedName>
    <definedName name="_55__123Graph_CChart_6A" localSheetId="7" hidden="1">[1]OtherKPI!#REF!</definedName>
    <definedName name="_55__123Graph_CChart_6A" localSheetId="9" hidden="1">[1]OtherKPI!#REF!</definedName>
    <definedName name="_55__123Graph_CChart_6A" localSheetId="8" hidden="1">[1]OtherKPI!#REF!</definedName>
    <definedName name="_55__123Graph_CChart_6A" localSheetId="15" hidden="1">[1]OtherKPI!#REF!</definedName>
    <definedName name="_55__123Graph_CChart_6A" hidden="1">[1]OtherKPI!#REF!</definedName>
    <definedName name="_56__123Graph_CChart_7A" localSheetId="13" hidden="1">[1]OtherKPI!#REF!</definedName>
    <definedName name="_56__123Graph_CChart_7A" localSheetId="7" hidden="1">[1]OtherKPI!#REF!</definedName>
    <definedName name="_56__123Graph_CChart_7A" localSheetId="9" hidden="1">[1]OtherKPI!#REF!</definedName>
    <definedName name="_56__123Graph_CChart_7A" localSheetId="8" hidden="1">[1]OtherKPI!#REF!</definedName>
    <definedName name="_56__123Graph_CChart_7A" localSheetId="15" hidden="1">[1]OtherKPI!#REF!</definedName>
    <definedName name="_56__123Graph_CChart_7A" hidden="1">[1]OtherKPI!#REF!</definedName>
    <definedName name="_57__123Graph_CChart_8A" localSheetId="13" hidden="1">[1]OtherKPI!#REF!</definedName>
    <definedName name="_57__123Graph_CChart_8A" localSheetId="7" hidden="1">[1]OtherKPI!#REF!</definedName>
    <definedName name="_57__123Graph_CChart_8A" localSheetId="9" hidden="1">[1]OtherKPI!#REF!</definedName>
    <definedName name="_57__123Graph_CChart_8A" localSheetId="8" hidden="1">[1]OtherKPI!#REF!</definedName>
    <definedName name="_57__123Graph_CChart_8A" localSheetId="15" hidden="1">[1]OtherKPI!#REF!</definedName>
    <definedName name="_57__123Graph_CChart_8A" hidden="1">[1]OtherKPI!#REF!</definedName>
    <definedName name="_58__123Graph_DChart_13B" localSheetId="13" hidden="1">[1]OtherKPI!#REF!</definedName>
    <definedName name="_58__123Graph_DChart_13B" localSheetId="7" hidden="1">[1]OtherKPI!#REF!</definedName>
    <definedName name="_58__123Graph_DChart_13B" localSheetId="9" hidden="1">[1]OtherKPI!#REF!</definedName>
    <definedName name="_58__123Graph_DChart_13B" localSheetId="8" hidden="1">[1]OtherKPI!#REF!</definedName>
    <definedName name="_58__123Graph_DChart_13B" localSheetId="15" hidden="1">[1]OtherKPI!#REF!</definedName>
    <definedName name="_58__123Graph_DChart_13B" hidden="1">[1]OtherKPI!#REF!</definedName>
    <definedName name="_59__123Graph_DChart_16B" localSheetId="13" hidden="1">[1]OtherKPI!#REF!</definedName>
    <definedName name="_59__123Graph_DChart_16B" localSheetId="7" hidden="1">[1]OtherKPI!#REF!</definedName>
    <definedName name="_59__123Graph_DChart_16B" localSheetId="9" hidden="1">[1]OtherKPI!#REF!</definedName>
    <definedName name="_59__123Graph_DChart_16B" localSheetId="8" hidden="1">[1]OtherKPI!#REF!</definedName>
    <definedName name="_59__123Graph_DChart_16B" localSheetId="15" hidden="1">[1]OtherKPI!#REF!</definedName>
    <definedName name="_59__123Graph_DChart_16B" hidden="1">[1]OtherKPI!#REF!</definedName>
    <definedName name="_6__123Graph_AChart_17B" localSheetId="13" hidden="1">[1]OtherKPI!#REF!</definedName>
    <definedName name="_6__123Graph_AChart_17B" localSheetId="7" hidden="1">[1]OtherKPI!#REF!</definedName>
    <definedName name="_6__123Graph_AChart_17B" localSheetId="9" hidden="1">[1]OtherKPI!#REF!</definedName>
    <definedName name="_6__123Graph_AChart_17B" localSheetId="8" hidden="1">[1]OtherKPI!#REF!</definedName>
    <definedName name="_6__123Graph_AChart_17B" localSheetId="15" hidden="1">[1]OtherKPI!#REF!</definedName>
    <definedName name="_6__123Graph_AChart_17B" hidden="1">[1]OtherKPI!#REF!</definedName>
    <definedName name="_6__123Graph_XR_M_MARGINS" hidden="1">[4]RD!$U$5:$AR$5</definedName>
    <definedName name="_60__123Graph_DChart_17B" localSheetId="13" hidden="1">[1]OtherKPI!#REF!</definedName>
    <definedName name="_60__123Graph_DChart_17B" localSheetId="7" hidden="1">[1]OtherKPI!#REF!</definedName>
    <definedName name="_60__123Graph_DChart_17B" localSheetId="9" hidden="1">[1]OtherKPI!#REF!</definedName>
    <definedName name="_60__123Graph_DChart_17B" localSheetId="8" hidden="1">[1]OtherKPI!#REF!</definedName>
    <definedName name="_60__123Graph_DChart_17B" localSheetId="15" hidden="1">[1]OtherKPI!#REF!</definedName>
    <definedName name="_60__123Graph_DChart_17B" hidden="1">[1]OtherKPI!#REF!</definedName>
    <definedName name="_61__123Graph_DChart_22C" localSheetId="13" hidden="1">[1]OtherKPI!#REF!</definedName>
    <definedName name="_61__123Graph_DChart_22C" localSheetId="7" hidden="1">[1]OtherKPI!#REF!</definedName>
    <definedName name="_61__123Graph_DChart_22C" localSheetId="9" hidden="1">[1]OtherKPI!#REF!</definedName>
    <definedName name="_61__123Graph_DChart_22C" localSheetId="8" hidden="1">[1]OtherKPI!#REF!</definedName>
    <definedName name="_61__123Graph_DChart_22C" localSheetId="15" hidden="1">[1]OtherKPI!#REF!</definedName>
    <definedName name="_61__123Graph_DChart_22C" hidden="1">[1]OtherKPI!#REF!</definedName>
    <definedName name="_62__123Graph_DChart_23C" localSheetId="13" hidden="1">[1]OtherKPI!#REF!</definedName>
    <definedName name="_62__123Graph_DChart_23C" localSheetId="7" hidden="1">[1]OtherKPI!#REF!</definedName>
    <definedName name="_62__123Graph_DChart_23C" localSheetId="9" hidden="1">[1]OtherKPI!#REF!</definedName>
    <definedName name="_62__123Graph_DChart_23C" localSheetId="8" hidden="1">[1]OtherKPI!#REF!</definedName>
    <definedName name="_62__123Graph_DChart_23C" localSheetId="15" hidden="1">[1]OtherKPI!#REF!</definedName>
    <definedName name="_62__123Graph_DChart_23C" hidden="1">[1]OtherKPI!#REF!</definedName>
    <definedName name="_63__123Graph_DChart_24C" localSheetId="13" hidden="1">[1]OtherKPI!#REF!</definedName>
    <definedName name="_63__123Graph_DChart_24C" localSheetId="7" hidden="1">[1]OtherKPI!#REF!</definedName>
    <definedName name="_63__123Graph_DChart_24C" localSheetId="9" hidden="1">[1]OtherKPI!#REF!</definedName>
    <definedName name="_63__123Graph_DChart_24C" localSheetId="8" hidden="1">[1]OtherKPI!#REF!</definedName>
    <definedName name="_63__123Graph_DChart_24C" localSheetId="15" hidden="1">[1]OtherKPI!#REF!</definedName>
    <definedName name="_63__123Graph_DChart_24C" hidden="1">[1]OtherKPI!#REF!</definedName>
    <definedName name="_64__123Graph_DChart_25C" localSheetId="13" hidden="1">[1]OtherKPI!#REF!</definedName>
    <definedName name="_64__123Graph_DChart_25C" localSheetId="7" hidden="1">[1]OtherKPI!#REF!</definedName>
    <definedName name="_64__123Graph_DChart_25C" localSheetId="9" hidden="1">[1]OtherKPI!#REF!</definedName>
    <definedName name="_64__123Graph_DChart_25C" localSheetId="8" hidden="1">[1]OtherKPI!#REF!</definedName>
    <definedName name="_64__123Graph_DChart_25C" localSheetId="15" hidden="1">[1]OtherKPI!#REF!</definedName>
    <definedName name="_64__123Graph_DChart_25C" hidden="1">[1]OtherKPI!#REF!</definedName>
    <definedName name="_65__123Graph_DChart_26C" localSheetId="13" hidden="1">[1]OtherKPI!#REF!</definedName>
    <definedName name="_65__123Graph_DChart_26C" localSheetId="7" hidden="1">[1]OtherKPI!#REF!</definedName>
    <definedName name="_65__123Graph_DChart_26C" localSheetId="9" hidden="1">[1]OtherKPI!#REF!</definedName>
    <definedName name="_65__123Graph_DChart_26C" localSheetId="8" hidden="1">[1]OtherKPI!#REF!</definedName>
    <definedName name="_65__123Graph_DChart_26C" localSheetId="15" hidden="1">[1]OtherKPI!#REF!</definedName>
    <definedName name="_65__123Graph_DChart_26C" hidden="1">[1]OtherKPI!#REF!</definedName>
    <definedName name="_66__123Graph_DChart_4A" localSheetId="13" hidden="1">[1]OtherKPI!#REF!</definedName>
    <definedName name="_66__123Graph_DChart_4A" localSheetId="7" hidden="1">[1]OtherKPI!#REF!</definedName>
    <definedName name="_66__123Graph_DChart_4A" localSheetId="9" hidden="1">[1]OtherKPI!#REF!</definedName>
    <definedName name="_66__123Graph_DChart_4A" localSheetId="8" hidden="1">[1]OtherKPI!#REF!</definedName>
    <definedName name="_66__123Graph_DChart_4A" localSheetId="15" hidden="1">[1]OtherKPI!#REF!</definedName>
    <definedName name="_66__123Graph_DChart_4A" hidden="1">[1]OtherKPI!#REF!</definedName>
    <definedName name="_67__123Graph_DChart_5A" localSheetId="13" hidden="1">[1]OtherKPI!#REF!</definedName>
    <definedName name="_67__123Graph_DChart_5A" localSheetId="7" hidden="1">[1]OtherKPI!#REF!</definedName>
    <definedName name="_67__123Graph_DChart_5A" localSheetId="9" hidden="1">[1]OtherKPI!#REF!</definedName>
    <definedName name="_67__123Graph_DChart_5A" localSheetId="8" hidden="1">[1]OtherKPI!#REF!</definedName>
    <definedName name="_67__123Graph_DChart_5A" localSheetId="15" hidden="1">[1]OtherKPI!#REF!</definedName>
    <definedName name="_67__123Graph_DChart_5A" hidden="1">[1]OtherKPI!#REF!</definedName>
    <definedName name="_68__123Graph_DChart_6A" localSheetId="13" hidden="1">[1]OtherKPI!#REF!</definedName>
    <definedName name="_68__123Graph_DChart_6A" localSheetId="7" hidden="1">[1]OtherKPI!#REF!</definedName>
    <definedName name="_68__123Graph_DChart_6A" localSheetId="9" hidden="1">[1]OtherKPI!#REF!</definedName>
    <definedName name="_68__123Graph_DChart_6A" localSheetId="8" hidden="1">[1]OtherKPI!#REF!</definedName>
    <definedName name="_68__123Graph_DChart_6A" localSheetId="15" hidden="1">[1]OtherKPI!#REF!</definedName>
    <definedName name="_68__123Graph_DChart_6A" hidden="1">[1]OtherKPI!#REF!</definedName>
    <definedName name="_69__123Graph_DChart_7A" localSheetId="13" hidden="1">[1]OtherKPI!#REF!</definedName>
    <definedName name="_69__123Graph_DChart_7A" localSheetId="7" hidden="1">[1]OtherKPI!#REF!</definedName>
    <definedName name="_69__123Graph_DChart_7A" localSheetId="9" hidden="1">[1]OtherKPI!#REF!</definedName>
    <definedName name="_69__123Graph_DChart_7A" localSheetId="8" hidden="1">[1]OtherKPI!#REF!</definedName>
    <definedName name="_69__123Graph_DChart_7A" localSheetId="15" hidden="1">[1]OtherKPI!#REF!</definedName>
    <definedName name="_69__123Graph_DChart_7A" hidden="1">[1]OtherKPI!#REF!</definedName>
    <definedName name="_7__123Graph_AChart_18B" localSheetId="13" hidden="1">[1]OtherKPI!#REF!</definedName>
    <definedName name="_7__123Graph_AChart_18B" localSheetId="7" hidden="1">[1]OtherKPI!#REF!</definedName>
    <definedName name="_7__123Graph_AChart_18B" localSheetId="9" hidden="1">[1]OtherKPI!#REF!</definedName>
    <definedName name="_7__123Graph_AChart_18B" localSheetId="8" hidden="1">[1]OtherKPI!#REF!</definedName>
    <definedName name="_7__123Graph_AChart_18B" localSheetId="15" hidden="1">[1]OtherKPI!#REF!</definedName>
    <definedName name="_7__123Graph_AChart_18B" hidden="1">[1]OtherKPI!#REF!</definedName>
    <definedName name="_7__123Graph_XR_M_VOLUMES" hidden="1">[4]RD!$U$5:$AR$5</definedName>
    <definedName name="_70__123Graph_DChart_8A" localSheetId="13" hidden="1">[1]OtherKPI!#REF!</definedName>
    <definedName name="_70__123Graph_DChart_8A" localSheetId="7" hidden="1">[1]OtherKPI!#REF!</definedName>
    <definedName name="_70__123Graph_DChart_8A" localSheetId="9" hidden="1">[1]OtherKPI!#REF!</definedName>
    <definedName name="_70__123Graph_DChart_8A" localSheetId="8" hidden="1">[1]OtherKPI!#REF!</definedName>
    <definedName name="_70__123Graph_DChart_8A" localSheetId="15" hidden="1">[1]OtherKPI!#REF!</definedName>
    <definedName name="_70__123Graph_DChart_8A" hidden="1">[1]OtherKPI!#REF!</definedName>
    <definedName name="_8__123Graph_AChart_19C" localSheetId="13" hidden="1">[1]OtherKPI!#REF!</definedName>
    <definedName name="_8__123Graph_AChart_19C" localSheetId="7" hidden="1">[1]OtherKPI!#REF!</definedName>
    <definedName name="_8__123Graph_AChart_19C" localSheetId="9" hidden="1">[1]OtherKPI!#REF!</definedName>
    <definedName name="_8__123Graph_AChart_19C" localSheetId="8" hidden="1">[1]OtherKPI!#REF!</definedName>
    <definedName name="_8__123Graph_AChart_19C" localSheetId="15" hidden="1">[1]OtherKPI!#REF!</definedName>
    <definedName name="_8__123Graph_AChart_19C" hidden="1">[1]OtherKPI!#REF!</definedName>
    <definedName name="_9__123Graph_AChart_1A" localSheetId="13" hidden="1">[1]OtherKPI!#REF!</definedName>
    <definedName name="_9__123Graph_AChart_1A" localSheetId="7" hidden="1">[1]OtherKPI!#REF!</definedName>
    <definedName name="_9__123Graph_AChart_1A" localSheetId="9" hidden="1">[1]OtherKPI!#REF!</definedName>
    <definedName name="_9__123Graph_AChart_1A" localSheetId="8" hidden="1">[1]OtherKPI!#REF!</definedName>
    <definedName name="_9__123Graph_AChart_1A" localSheetId="15" hidden="1">[1]OtherKPI!#REF!</definedName>
    <definedName name="_9__123Graph_AChart_1A" hidden="1">[1]OtherKPI!#REF!</definedName>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FALSE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localSheetId="13" hidden="1">#REF!</definedName>
    <definedName name="_Fill" localSheetId="7" hidden="1">#REF!</definedName>
    <definedName name="_Fill" localSheetId="9" hidden="1">#REF!</definedName>
    <definedName name="_Fill" localSheetId="8" hidden="1">#REF!</definedName>
    <definedName name="_Fill" localSheetId="15" hidden="1">#REF!</definedName>
    <definedName name="_Fill" hidden="1">#REF!</definedName>
    <definedName name="_xlnm._FilterDatabase" localSheetId="13" hidden="1">#REF!</definedName>
    <definedName name="_xlnm._FilterDatabase" localSheetId="7" hidden="1">#REF!</definedName>
    <definedName name="_xlnm._FilterDatabase" localSheetId="9" hidden="1">#REF!</definedName>
    <definedName name="_xlnm._FilterDatabase" localSheetId="8" hidden="1">#REF!</definedName>
    <definedName name="_xlnm._FilterDatabase" localSheetId="15" hidden="1">#REF!</definedName>
    <definedName name="_xlnm._FilterDatabase" hidden="1">#REF!</definedName>
    <definedName name="_Key1" localSheetId="13" hidden="1">[10]Reckitt!#REF!</definedName>
    <definedName name="_Key1" localSheetId="7" hidden="1">[10]Reckitt!#REF!</definedName>
    <definedName name="_Key1" localSheetId="9" hidden="1">[10]Reckitt!#REF!</definedName>
    <definedName name="_Key1" localSheetId="8" hidden="1">[10]Reckitt!#REF!</definedName>
    <definedName name="_Key1" localSheetId="15" hidden="1">[10]Reckitt!#REF!</definedName>
    <definedName name="_Key1" hidden="1">[10]Reckitt!#REF!</definedName>
    <definedName name="_Key2" localSheetId="13" hidden="1">#REF!</definedName>
    <definedName name="_Key2" localSheetId="7" hidden="1">#REF!</definedName>
    <definedName name="_Key2" localSheetId="9" hidden="1">#REF!</definedName>
    <definedName name="_Key2" localSheetId="8" hidden="1">#REF!</definedName>
    <definedName name="_Key2" localSheetId="15" hidden="1">#REF!</definedName>
    <definedName name="_Key2" hidden="1">#REF!</definedName>
    <definedName name="_Order1" hidden="1">255</definedName>
    <definedName name="_Order2" hidden="1">255</definedName>
    <definedName name="_Sort" localSheetId="13" hidden="1">[10]Reckitt!#REF!</definedName>
    <definedName name="_Sort" localSheetId="7" hidden="1">[10]Reckitt!#REF!</definedName>
    <definedName name="_Sort" localSheetId="9" hidden="1">[10]Reckitt!#REF!</definedName>
    <definedName name="_Sort" localSheetId="8" hidden="1">[10]Reckitt!#REF!</definedName>
    <definedName name="_Sort" localSheetId="15" hidden="1">[10]Reckitt!#REF!</definedName>
    <definedName name="_Sort" hidden="1">[10]Reckitt!#REF!</definedName>
    <definedName name="_xleta.SUM" hidden="1" xlm="1">#NAME?</definedName>
    <definedName name="A" hidden="1">{#N/A,#N/A,FALSE,"YPF"}</definedName>
    <definedName name="Anly" localSheetId="13" hidden="1">[11]FORECAST2000!#REF!</definedName>
    <definedName name="Anly" localSheetId="7" hidden="1">[11]FORECAST2000!#REF!</definedName>
    <definedName name="Anly" localSheetId="9" hidden="1">[11]FORECAST2000!#REF!</definedName>
    <definedName name="Anly" localSheetId="8" hidden="1">[11]FORECAST2000!#REF!</definedName>
    <definedName name="Anly" localSheetId="15" hidden="1">[11]FORECAST2000!#REF!</definedName>
    <definedName name="Anly" hidden="1">[11]FORECAST2000!#REF!</definedName>
    <definedName name="anscount" hidden="1">10</definedName>
    <definedName name="AS2DocOpenMode" hidden="1">"AS2DocumentEdit"</definedName>
    <definedName name="AS2ReportLS" hidden="1">1</definedName>
    <definedName name="AS2SyncStepLS" hidden="1">0</definedName>
    <definedName name="AS2TickmarkLS" localSheetId="13" hidden="1">#REF!</definedName>
    <definedName name="AS2TickmarkLS" localSheetId="7" hidden="1">#REF!</definedName>
    <definedName name="AS2TickmarkLS" localSheetId="9" hidden="1">#REF!</definedName>
    <definedName name="AS2TickmarkLS" localSheetId="8" hidden="1">#REF!</definedName>
    <definedName name="AS2TickmarkLS" localSheetId="15" hidden="1">#REF!</definedName>
    <definedName name="AS2TickmarkLS" hidden="1">#REF!</definedName>
    <definedName name="AS2VersionLS" hidden="1">300</definedName>
    <definedName name="B" hidden="1">{#N/A,#N/A,FALSE,"YPF"}</definedName>
    <definedName name="bd" localSheetId="13" hidden="1">Main.SAPF4Help()</definedName>
    <definedName name="bd" localSheetId="11" hidden="1">Main.SAPF4Help()</definedName>
    <definedName name="bd" localSheetId="7" hidden="1">Main.SAPF4Help()</definedName>
    <definedName name="bd" localSheetId="10" hidden="1">Main.SAPF4Help()</definedName>
    <definedName name="bd" localSheetId="5" hidden="1">Main.SAPF4Help()</definedName>
    <definedName name="bd" localSheetId="9" hidden="1">Main.SAPF4Help()</definedName>
    <definedName name="bd" localSheetId="8" hidden="1">Main.SAPF4Help()</definedName>
    <definedName name="bd" localSheetId="2" hidden="1">Main.SAPF4Help()</definedName>
    <definedName name="bd" localSheetId="12" hidden="1">Main.SAPF4Help()</definedName>
    <definedName name="bd" localSheetId="15" hidden="1">Main.SAPF4Help()</definedName>
    <definedName name="bd" localSheetId="14" hidden="1">Main.SAPF4Help()</definedName>
    <definedName name="bd" hidden="1">Main.SAPF4Help()</definedName>
    <definedName name="BG_Del" hidden="1">15</definedName>
    <definedName name="BG_Ins" hidden="1">4</definedName>
    <definedName name="BG_Mod" hidden="1">6</definedName>
    <definedName name="BLPH1" hidden="1">[12]Peer1!$AQ$3</definedName>
    <definedName name="BLPH10" hidden="1">[12]Peer10!$AQ$3</definedName>
    <definedName name="BLPH100" localSheetId="13" hidden="1">#REF!</definedName>
    <definedName name="BLPH100" localSheetId="7" hidden="1">#REF!</definedName>
    <definedName name="BLPH100" localSheetId="9" hidden="1">#REF!</definedName>
    <definedName name="BLPH100" localSheetId="8" hidden="1">#REF!</definedName>
    <definedName name="BLPH100" localSheetId="15" hidden="1">#REF!</definedName>
    <definedName name="BLPH100" hidden="1">#REF!</definedName>
    <definedName name="BLPH11" hidden="1">[12]Peer11!$AQ$3</definedName>
    <definedName name="BLPH12" hidden="1">[12]Peer12!$AQ$3</definedName>
    <definedName name="BLPH13" hidden="1">[12]Peer13!$AQ$3</definedName>
    <definedName name="BLPH14" hidden="1">[12]Peer14!$AQ$3</definedName>
    <definedName name="BLPH15" hidden="1">[12]Peer15!$AQ$3</definedName>
    <definedName name="BLPH16" hidden="1">[12]Peer16!$AQ$3</definedName>
    <definedName name="BLPH17" hidden="1">[12]Peer17!$AQ$3</definedName>
    <definedName name="BLPH18" hidden="1">[12]Peer18!$AQ$3</definedName>
    <definedName name="BLPH19" hidden="1">[12]Peer19!$AQ$3</definedName>
    <definedName name="BLPH2" hidden="1">[12]Peer2!$AQ$3</definedName>
    <definedName name="BLPH20" hidden="1">[12]Peer20!$AQ$3</definedName>
    <definedName name="BLPH21" localSheetId="13" hidden="1">[13]Beregninger!#REF!</definedName>
    <definedName name="BLPH21" localSheetId="7" hidden="1">[13]Beregninger!#REF!</definedName>
    <definedName name="BLPH21" localSheetId="9" hidden="1">[13]Beregninger!#REF!</definedName>
    <definedName name="BLPH21" localSheetId="8" hidden="1">[13]Beregninger!#REF!</definedName>
    <definedName name="BLPH21" localSheetId="15" hidden="1">[13]Beregninger!#REF!</definedName>
    <definedName name="BLPH21" hidden="1">[13]Beregninger!#REF!</definedName>
    <definedName name="BLPH22" localSheetId="13" hidden="1">[13]Beregninger!#REF!</definedName>
    <definedName name="BLPH22" localSheetId="7" hidden="1">[13]Beregninger!#REF!</definedName>
    <definedName name="BLPH22" localSheetId="9" hidden="1">[13]Beregninger!#REF!</definedName>
    <definedName name="BLPH22" localSheetId="8" hidden="1">[13]Beregninger!#REF!</definedName>
    <definedName name="BLPH22" localSheetId="15" hidden="1">[13]Beregninger!#REF!</definedName>
    <definedName name="BLPH22" hidden="1">[13]Beregninger!#REF!</definedName>
    <definedName name="BLPH23" localSheetId="13" hidden="1">[13]Beregninger!#REF!</definedName>
    <definedName name="BLPH23" localSheetId="7" hidden="1">[13]Beregninger!#REF!</definedName>
    <definedName name="BLPH23" localSheetId="9" hidden="1">[13]Beregninger!#REF!</definedName>
    <definedName name="BLPH23" localSheetId="8" hidden="1">[13]Beregninger!#REF!</definedName>
    <definedName name="BLPH23" localSheetId="15" hidden="1">[13]Beregninger!#REF!</definedName>
    <definedName name="BLPH23" hidden="1">[13]Beregninger!#REF!</definedName>
    <definedName name="BLPH24" localSheetId="13" hidden="1">[13]Beregninger!#REF!</definedName>
    <definedName name="BLPH24" localSheetId="7" hidden="1">[13]Beregninger!#REF!</definedName>
    <definedName name="BLPH24" localSheetId="9" hidden="1">[13]Beregninger!#REF!</definedName>
    <definedName name="BLPH24" localSheetId="8" hidden="1">[13]Beregninger!#REF!</definedName>
    <definedName name="BLPH24" localSheetId="15" hidden="1">[13]Beregninger!#REF!</definedName>
    <definedName name="BLPH24" hidden="1">[13]Beregninger!#REF!</definedName>
    <definedName name="BLPH25" localSheetId="13" hidden="1">[13]Beregninger!#REF!</definedName>
    <definedName name="BLPH25" localSheetId="7" hidden="1">[13]Beregninger!#REF!</definedName>
    <definedName name="BLPH25" localSheetId="9" hidden="1">[13]Beregninger!#REF!</definedName>
    <definedName name="BLPH25" localSheetId="8" hidden="1">[13]Beregninger!#REF!</definedName>
    <definedName name="BLPH25" localSheetId="15" hidden="1">[13]Beregninger!#REF!</definedName>
    <definedName name="BLPH25" hidden="1">[13]Beregninger!#REF!</definedName>
    <definedName name="BLPH26" localSheetId="13" hidden="1">[13]Beregninger!#REF!</definedName>
    <definedName name="BLPH26" localSheetId="7" hidden="1">[13]Beregninger!#REF!</definedName>
    <definedName name="BLPH26" localSheetId="9" hidden="1">[13]Beregninger!#REF!</definedName>
    <definedName name="BLPH26" localSheetId="8" hidden="1">[13]Beregninger!#REF!</definedName>
    <definedName name="BLPH26" localSheetId="15" hidden="1">[13]Beregninger!#REF!</definedName>
    <definedName name="BLPH26" hidden="1">[13]Beregninger!#REF!</definedName>
    <definedName name="BLPH27" localSheetId="13" hidden="1">[13]Beregninger!#REF!</definedName>
    <definedName name="BLPH27" localSheetId="7" hidden="1">[13]Beregninger!#REF!</definedName>
    <definedName name="BLPH27" localSheetId="9" hidden="1">[13]Beregninger!#REF!</definedName>
    <definedName name="BLPH27" localSheetId="8" hidden="1">[13]Beregninger!#REF!</definedName>
    <definedName name="BLPH27" localSheetId="15" hidden="1">[13]Beregninger!#REF!</definedName>
    <definedName name="BLPH27" hidden="1">[13]Beregninger!#REF!</definedName>
    <definedName name="BLPH28" localSheetId="13" hidden="1">[13]Beregninger!#REF!</definedName>
    <definedName name="BLPH28" localSheetId="7" hidden="1">[13]Beregninger!#REF!</definedName>
    <definedName name="BLPH28" localSheetId="9" hidden="1">[13]Beregninger!#REF!</definedName>
    <definedName name="BLPH28" localSheetId="8" hidden="1">[13]Beregninger!#REF!</definedName>
    <definedName name="BLPH28" localSheetId="15" hidden="1">[13]Beregninger!#REF!</definedName>
    <definedName name="BLPH28" hidden="1">[13]Beregninger!#REF!</definedName>
    <definedName name="BLPH29" localSheetId="13" hidden="1">[13]Beregninger!#REF!</definedName>
    <definedName name="BLPH29" localSheetId="7" hidden="1">[13]Beregninger!#REF!</definedName>
    <definedName name="BLPH29" localSheetId="9" hidden="1">[13]Beregninger!#REF!</definedName>
    <definedName name="BLPH29" localSheetId="8" hidden="1">[13]Beregninger!#REF!</definedName>
    <definedName name="BLPH29" localSheetId="15" hidden="1">[13]Beregninger!#REF!</definedName>
    <definedName name="BLPH29" hidden="1">[13]Beregninger!#REF!</definedName>
    <definedName name="BLPH3" hidden="1">[12]Peer3!$AQ$3</definedName>
    <definedName name="BLPH30" localSheetId="13" hidden="1">[13]Beregninger!#REF!</definedName>
    <definedName name="BLPH30" localSheetId="7" hidden="1">[13]Beregninger!#REF!</definedName>
    <definedName name="BLPH30" localSheetId="9" hidden="1">[13]Beregninger!#REF!</definedName>
    <definedName name="BLPH30" localSheetId="8" hidden="1">[13]Beregninger!#REF!</definedName>
    <definedName name="BLPH30" localSheetId="15" hidden="1">[13]Beregninger!#REF!</definedName>
    <definedName name="BLPH30" hidden="1">[13]Beregninger!#REF!</definedName>
    <definedName name="BLPH31" localSheetId="13" hidden="1">[13]Beregninger!#REF!</definedName>
    <definedName name="BLPH31" localSheetId="7" hidden="1">[13]Beregninger!#REF!</definedName>
    <definedName name="BLPH31" localSheetId="9" hidden="1">[13]Beregninger!#REF!</definedName>
    <definedName name="BLPH31" localSheetId="8" hidden="1">[13]Beregninger!#REF!</definedName>
    <definedName name="BLPH31" localSheetId="15" hidden="1">[13]Beregninger!#REF!</definedName>
    <definedName name="BLPH31" hidden="1">[13]Beregninger!#REF!</definedName>
    <definedName name="BLPH32" localSheetId="13" hidden="1">[13]Beregninger!#REF!</definedName>
    <definedName name="BLPH32" localSheetId="7" hidden="1">[13]Beregninger!#REF!</definedName>
    <definedName name="BLPH32" localSheetId="9" hidden="1">[13]Beregninger!#REF!</definedName>
    <definedName name="BLPH32" localSheetId="8" hidden="1">[13]Beregninger!#REF!</definedName>
    <definedName name="BLPH32" localSheetId="15" hidden="1">[13]Beregninger!#REF!</definedName>
    <definedName name="BLPH32" hidden="1">[13]Beregninger!#REF!</definedName>
    <definedName name="BLPH33" localSheetId="13" hidden="1">[13]Beregninger!#REF!</definedName>
    <definedName name="BLPH33" localSheetId="7" hidden="1">[13]Beregninger!#REF!</definedName>
    <definedName name="BLPH33" localSheetId="9" hidden="1">[13]Beregninger!#REF!</definedName>
    <definedName name="BLPH33" localSheetId="8" hidden="1">[13]Beregninger!#REF!</definedName>
    <definedName name="BLPH33" localSheetId="15" hidden="1">[13]Beregninger!#REF!</definedName>
    <definedName name="BLPH33" hidden="1">[13]Beregninger!#REF!</definedName>
    <definedName name="BLPH34" localSheetId="13" hidden="1">[13]Beregninger!#REF!</definedName>
    <definedName name="BLPH34" localSheetId="7" hidden="1">[13]Beregninger!#REF!</definedName>
    <definedName name="BLPH34" localSheetId="9" hidden="1">[13]Beregninger!#REF!</definedName>
    <definedName name="BLPH34" localSheetId="8" hidden="1">[13]Beregninger!#REF!</definedName>
    <definedName name="BLPH34" localSheetId="15" hidden="1">[13]Beregninger!#REF!</definedName>
    <definedName name="BLPH34" hidden="1">[13]Beregninger!#REF!</definedName>
    <definedName name="BLPH35" localSheetId="13" hidden="1">[13]Beregninger!#REF!</definedName>
    <definedName name="BLPH35" localSheetId="7" hidden="1">[13]Beregninger!#REF!</definedName>
    <definedName name="BLPH35" localSheetId="9" hidden="1">[13]Beregninger!#REF!</definedName>
    <definedName name="BLPH35" localSheetId="8" hidden="1">[13]Beregninger!#REF!</definedName>
    <definedName name="BLPH35" localSheetId="15" hidden="1">[13]Beregninger!#REF!</definedName>
    <definedName name="BLPH35" hidden="1">[13]Beregninger!#REF!</definedName>
    <definedName name="BLPH36" localSheetId="13" hidden="1">[13]Beregninger!#REF!</definedName>
    <definedName name="BLPH36" localSheetId="7" hidden="1">[13]Beregninger!#REF!</definedName>
    <definedName name="BLPH36" localSheetId="9" hidden="1">[13]Beregninger!#REF!</definedName>
    <definedName name="BLPH36" localSheetId="8" hidden="1">[13]Beregninger!#REF!</definedName>
    <definedName name="BLPH36" localSheetId="15" hidden="1">[13]Beregninger!#REF!</definedName>
    <definedName name="BLPH36" hidden="1">[13]Beregninger!#REF!</definedName>
    <definedName name="BLPH37" localSheetId="13" hidden="1">[13]Beregninger!#REF!</definedName>
    <definedName name="BLPH37" localSheetId="7" hidden="1">[13]Beregninger!#REF!</definedName>
    <definedName name="BLPH37" localSheetId="9" hidden="1">[13]Beregninger!#REF!</definedName>
    <definedName name="BLPH37" localSheetId="8" hidden="1">[13]Beregninger!#REF!</definedName>
    <definedName name="BLPH37" localSheetId="15" hidden="1">[13]Beregninger!#REF!</definedName>
    <definedName name="BLPH37" hidden="1">[13]Beregninger!#REF!</definedName>
    <definedName name="BLPH38" localSheetId="13" hidden="1">[13]Beregninger!#REF!</definedName>
    <definedName name="BLPH38" localSheetId="7" hidden="1">[13]Beregninger!#REF!</definedName>
    <definedName name="BLPH38" localSheetId="9" hidden="1">[13]Beregninger!#REF!</definedName>
    <definedName name="BLPH38" localSheetId="8" hidden="1">[13]Beregninger!#REF!</definedName>
    <definedName name="BLPH38" localSheetId="15" hidden="1">[13]Beregninger!#REF!</definedName>
    <definedName name="BLPH38" hidden="1">[13]Beregninger!#REF!</definedName>
    <definedName name="BLPH39" localSheetId="13" hidden="1">[13]Beregninger!#REF!</definedName>
    <definedName name="BLPH39" localSheetId="7" hidden="1">[13]Beregninger!#REF!</definedName>
    <definedName name="BLPH39" localSheetId="9" hidden="1">[13]Beregninger!#REF!</definedName>
    <definedName name="BLPH39" localSheetId="8" hidden="1">[13]Beregninger!#REF!</definedName>
    <definedName name="BLPH39" localSheetId="15" hidden="1">[13]Beregninger!#REF!</definedName>
    <definedName name="BLPH39" hidden="1">[13]Beregninger!#REF!</definedName>
    <definedName name="BLPH4" hidden="1">[12]Peer4!$AQ$3</definedName>
    <definedName name="BLPH40" localSheetId="13" hidden="1">[13]Beregninger!#REF!</definedName>
    <definedName name="BLPH40" localSheetId="7" hidden="1">[13]Beregninger!#REF!</definedName>
    <definedName name="BLPH40" localSheetId="9" hidden="1">[13]Beregninger!#REF!</definedName>
    <definedName name="BLPH40" localSheetId="8" hidden="1">[13]Beregninger!#REF!</definedName>
    <definedName name="BLPH40" localSheetId="15" hidden="1">[13]Beregninger!#REF!</definedName>
    <definedName name="BLPH40" hidden="1">[13]Beregninger!#REF!</definedName>
    <definedName name="BLPH41" localSheetId="13" hidden="1">[13]Beregninger!#REF!</definedName>
    <definedName name="BLPH41" localSheetId="7" hidden="1">[13]Beregninger!#REF!</definedName>
    <definedName name="BLPH41" localSheetId="9" hidden="1">[13]Beregninger!#REF!</definedName>
    <definedName name="BLPH41" localSheetId="8" hidden="1">[13]Beregninger!#REF!</definedName>
    <definedName name="BLPH41" localSheetId="15" hidden="1">[13]Beregninger!#REF!</definedName>
    <definedName name="BLPH41" hidden="1">[13]Beregninger!#REF!</definedName>
    <definedName name="BLPH42" localSheetId="13" hidden="1">[13]Beregninger!#REF!</definedName>
    <definedName name="BLPH42" localSheetId="7" hidden="1">[13]Beregninger!#REF!</definedName>
    <definedName name="BLPH42" localSheetId="9" hidden="1">[13]Beregninger!#REF!</definedName>
    <definedName name="BLPH42" localSheetId="8" hidden="1">[13]Beregninger!#REF!</definedName>
    <definedName name="BLPH42" localSheetId="15" hidden="1">[13]Beregninger!#REF!</definedName>
    <definedName name="BLPH42" hidden="1">[13]Beregninger!#REF!</definedName>
    <definedName name="BLPH43" localSheetId="13" hidden="1">[13]Beregninger!#REF!</definedName>
    <definedName name="BLPH43" localSheetId="7" hidden="1">[13]Beregninger!#REF!</definedName>
    <definedName name="BLPH43" localSheetId="9" hidden="1">[13]Beregninger!#REF!</definedName>
    <definedName name="BLPH43" localSheetId="8" hidden="1">[13]Beregninger!#REF!</definedName>
    <definedName name="BLPH43" localSheetId="15" hidden="1">[13]Beregninger!#REF!</definedName>
    <definedName name="BLPH43" hidden="1">[13]Beregninger!#REF!</definedName>
    <definedName name="BLPH44" localSheetId="13" hidden="1">[13]Beregninger!#REF!</definedName>
    <definedName name="BLPH44" localSheetId="7" hidden="1">[13]Beregninger!#REF!</definedName>
    <definedName name="BLPH44" localSheetId="9" hidden="1">[13]Beregninger!#REF!</definedName>
    <definedName name="BLPH44" localSheetId="8" hidden="1">[13]Beregninger!#REF!</definedName>
    <definedName name="BLPH44" localSheetId="15" hidden="1">[13]Beregninger!#REF!</definedName>
    <definedName name="BLPH44" hidden="1">[13]Beregninger!#REF!</definedName>
    <definedName name="BLPH45" localSheetId="13" hidden="1">[13]Beregninger!#REF!</definedName>
    <definedName name="BLPH45" localSheetId="7" hidden="1">[13]Beregninger!#REF!</definedName>
    <definedName name="BLPH45" localSheetId="9" hidden="1">[13]Beregninger!#REF!</definedName>
    <definedName name="BLPH45" localSheetId="8" hidden="1">[13]Beregninger!#REF!</definedName>
    <definedName name="BLPH45" localSheetId="15" hidden="1">[13]Beregninger!#REF!</definedName>
    <definedName name="BLPH45" hidden="1">[13]Beregninger!#REF!</definedName>
    <definedName name="BLPH46" localSheetId="13" hidden="1">[13]Beregninger!#REF!</definedName>
    <definedName name="BLPH46" localSheetId="7" hidden="1">[13]Beregninger!#REF!</definedName>
    <definedName name="BLPH46" localSheetId="9" hidden="1">[13]Beregninger!#REF!</definedName>
    <definedName name="BLPH46" localSheetId="8" hidden="1">[13]Beregninger!#REF!</definedName>
    <definedName name="BLPH46" localSheetId="15" hidden="1">[13]Beregninger!#REF!</definedName>
    <definedName name="BLPH46" hidden="1">[13]Beregninger!#REF!</definedName>
    <definedName name="BLPH47" localSheetId="13" hidden="1">[13]Beregninger!#REF!</definedName>
    <definedName name="BLPH47" localSheetId="7" hidden="1">[13]Beregninger!#REF!</definedName>
    <definedName name="BLPH47" localSheetId="9" hidden="1">[13]Beregninger!#REF!</definedName>
    <definedName name="BLPH47" localSheetId="8" hidden="1">[13]Beregninger!#REF!</definedName>
    <definedName name="BLPH47" localSheetId="15" hidden="1">[13]Beregninger!#REF!</definedName>
    <definedName name="BLPH47" hidden="1">[13]Beregninger!#REF!</definedName>
    <definedName name="BLPH48" localSheetId="13" hidden="1">[13]Beregninger!#REF!</definedName>
    <definedName name="BLPH48" localSheetId="7" hidden="1">[13]Beregninger!#REF!</definedName>
    <definedName name="BLPH48" localSheetId="9" hidden="1">[13]Beregninger!#REF!</definedName>
    <definedName name="BLPH48" localSheetId="8" hidden="1">[13]Beregninger!#REF!</definedName>
    <definedName name="BLPH48" localSheetId="15" hidden="1">[13]Beregninger!#REF!</definedName>
    <definedName name="BLPH48" hidden="1">[13]Beregninger!#REF!</definedName>
    <definedName name="BLPH49" localSheetId="13" hidden="1">#REF!</definedName>
    <definedName name="BLPH49" localSheetId="7" hidden="1">#REF!</definedName>
    <definedName name="BLPH49" localSheetId="9" hidden="1">#REF!</definedName>
    <definedName name="BLPH49" localSheetId="8" hidden="1">#REF!</definedName>
    <definedName name="BLPH49" localSheetId="15" hidden="1">#REF!</definedName>
    <definedName name="BLPH49" hidden="1">#REF!</definedName>
    <definedName name="BLPH5" hidden="1">[12]Peer5!$AQ$3</definedName>
    <definedName name="BLPH50" localSheetId="13" hidden="1">#REF!</definedName>
    <definedName name="BLPH50" localSheetId="7" hidden="1">#REF!</definedName>
    <definedName name="BLPH50" localSheetId="9" hidden="1">#REF!</definedName>
    <definedName name="BLPH50" localSheetId="8" hidden="1">#REF!</definedName>
    <definedName name="BLPH50" localSheetId="15" hidden="1">#REF!</definedName>
    <definedName name="BLPH50" hidden="1">#REF!</definedName>
    <definedName name="BLPH51" localSheetId="13" hidden="1">#REF!</definedName>
    <definedName name="BLPH51" localSheetId="7" hidden="1">#REF!</definedName>
    <definedName name="BLPH51" localSheetId="9" hidden="1">#REF!</definedName>
    <definedName name="BLPH51" localSheetId="8" hidden="1">#REF!</definedName>
    <definedName name="BLPH51" localSheetId="15" hidden="1">#REF!</definedName>
    <definedName name="BLPH51" hidden="1">#REF!</definedName>
    <definedName name="BLPH52" localSheetId="13" hidden="1">#REF!</definedName>
    <definedName name="BLPH52" localSheetId="7" hidden="1">#REF!</definedName>
    <definedName name="BLPH52" localSheetId="9" hidden="1">#REF!</definedName>
    <definedName name="BLPH52" localSheetId="8" hidden="1">#REF!</definedName>
    <definedName name="BLPH52" localSheetId="15" hidden="1">#REF!</definedName>
    <definedName name="BLPH52" hidden="1">#REF!</definedName>
    <definedName name="BLPH53" localSheetId="13" hidden="1">#REF!</definedName>
    <definedName name="BLPH53" localSheetId="7" hidden="1">#REF!</definedName>
    <definedName name="BLPH53" localSheetId="9" hidden="1">#REF!</definedName>
    <definedName name="BLPH53" localSheetId="8" hidden="1">#REF!</definedName>
    <definedName name="BLPH53" localSheetId="15" hidden="1">#REF!</definedName>
    <definedName name="BLPH53" hidden="1">#REF!</definedName>
    <definedName name="BLPH54" localSheetId="13" hidden="1">#REF!</definedName>
    <definedName name="BLPH54" localSheetId="7" hidden="1">#REF!</definedName>
    <definedName name="BLPH54" localSheetId="9" hidden="1">#REF!</definedName>
    <definedName name="BLPH54" localSheetId="8" hidden="1">#REF!</definedName>
    <definedName name="BLPH54" localSheetId="15" hidden="1">#REF!</definedName>
    <definedName name="BLPH54" hidden="1">#REF!</definedName>
    <definedName name="BLPH55" localSheetId="13" hidden="1">#REF!</definedName>
    <definedName name="BLPH55" localSheetId="7" hidden="1">#REF!</definedName>
    <definedName name="BLPH55" localSheetId="9" hidden="1">#REF!</definedName>
    <definedName name="BLPH55" localSheetId="8" hidden="1">#REF!</definedName>
    <definedName name="BLPH55" localSheetId="15" hidden="1">#REF!</definedName>
    <definedName name="BLPH55" hidden="1">#REF!</definedName>
    <definedName name="BLPH56" localSheetId="13" hidden="1">#REF!</definedName>
    <definedName name="BLPH56" localSheetId="7" hidden="1">#REF!</definedName>
    <definedName name="BLPH56" localSheetId="9" hidden="1">#REF!</definedName>
    <definedName name="BLPH56" localSheetId="8" hidden="1">#REF!</definedName>
    <definedName name="BLPH56" localSheetId="15" hidden="1">#REF!</definedName>
    <definedName name="BLPH56" hidden="1">#REF!</definedName>
    <definedName name="BLPH57" localSheetId="13" hidden="1">#REF!</definedName>
    <definedName name="BLPH57" localSheetId="7" hidden="1">#REF!</definedName>
    <definedName name="BLPH57" localSheetId="9" hidden="1">#REF!</definedName>
    <definedName name="BLPH57" localSheetId="8" hidden="1">#REF!</definedName>
    <definedName name="BLPH57" localSheetId="15" hidden="1">#REF!</definedName>
    <definedName name="BLPH57" hidden="1">#REF!</definedName>
    <definedName name="BLPH58" localSheetId="13" hidden="1">#REF!</definedName>
    <definedName name="BLPH58" localSheetId="7" hidden="1">#REF!</definedName>
    <definedName name="BLPH58" localSheetId="9" hidden="1">#REF!</definedName>
    <definedName name="BLPH58" localSheetId="8" hidden="1">#REF!</definedName>
    <definedName name="BLPH58" localSheetId="15" hidden="1">#REF!</definedName>
    <definedName name="BLPH58" hidden="1">#REF!</definedName>
    <definedName name="BLPH59" localSheetId="13" hidden="1">#REF!</definedName>
    <definedName name="BLPH59" localSheetId="7" hidden="1">#REF!</definedName>
    <definedName name="BLPH59" localSheetId="9" hidden="1">#REF!</definedName>
    <definedName name="BLPH59" localSheetId="8" hidden="1">#REF!</definedName>
    <definedName name="BLPH59" localSheetId="15" hidden="1">#REF!</definedName>
    <definedName name="BLPH59" hidden="1">#REF!</definedName>
    <definedName name="BLPH6" hidden="1">[12]Peer6!$AQ$3</definedName>
    <definedName name="BLPH60" localSheetId="13" hidden="1">#REF!</definedName>
    <definedName name="BLPH60" localSheetId="7" hidden="1">#REF!</definedName>
    <definedName name="BLPH60" localSheetId="9" hidden="1">#REF!</definedName>
    <definedName name="BLPH60" localSheetId="8" hidden="1">#REF!</definedName>
    <definedName name="BLPH60" localSheetId="15" hidden="1">#REF!</definedName>
    <definedName name="BLPH60" hidden="1">#REF!</definedName>
    <definedName name="BLPH61" localSheetId="13" hidden="1">#REF!</definedName>
    <definedName name="BLPH61" localSheetId="7" hidden="1">#REF!</definedName>
    <definedName name="BLPH61" localSheetId="9" hidden="1">#REF!</definedName>
    <definedName name="BLPH61" localSheetId="8" hidden="1">#REF!</definedName>
    <definedName name="BLPH61" localSheetId="15" hidden="1">#REF!</definedName>
    <definedName name="BLPH61" hidden="1">#REF!</definedName>
    <definedName name="BLPH62" localSheetId="13" hidden="1">#REF!</definedName>
    <definedName name="BLPH62" localSheetId="7" hidden="1">#REF!</definedName>
    <definedName name="BLPH62" localSheetId="9" hidden="1">#REF!</definedName>
    <definedName name="BLPH62" localSheetId="8" hidden="1">#REF!</definedName>
    <definedName name="BLPH62" localSheetId="15" hidden="1">#REF!</definedName>
    <definedName name="BLPH62" hidden="1">#REF!</definedName>
    <definedName name="BLPH63" localSheetId="13" hidden="1">#REF!</definedName>
    <definedName name="BLPH63" localSheetId="7" hidden="1">#REF!</definedName>
    <definedName name="BLPH63" localSheetId="9" hidden="1">#REF!</definedName>
    <definedName name="BLPH63" localSheetId="8" hidden="1">#REF!</definedName>
    <definedName name="BLPH63" localSheetId="15" hidden="1">#REF!</definedName>
    <definedName name="BLPH63" hidden="1">#REF!</definedName>
    <definedName name="BLPH64" localSheetId="13" hidden="1">#REF!</definedName>
    <definedName name="BLPH64" localSheetId="7" hidden="1">#REF!</definedName>
    <definedName name="BLPH64" localSheetId="9" hidden="1">#REF!</definedName>
    <definedName name="BLPH64" localSheetId="8" hidden="1">#REF!</definedName>
    <definedName name="BLPH64" localSheetId="15" hidden="1">#REF!</definedName>
    <definedName name="BLPH64" hidden="1">#REF!</definedName>
    <definedName name="BLPH65" localSheetId="13" hidden="1">#REF!</definedName>
    <definedName name="BLPH65" localSheetId="7" hidden="1">#REF!</definedName>
    <definedName name="BLPH65" localSheetId="9" hidden="1">#REF!</definedName>
    <definedName name="BLPH65" localSheetId="8" hidden="1">#REF!</definedName>
    <definedName name="BLPH65" localSheetId="15" hidden="1">#REF!</definedName>
    <definedName name="BLPH65" hidden="1">#REF!</definedName>
    <definedName name="BLPH66" localSheetId="13" hidden="1">#REF!</definedName>
    <definedName name="BLPH66" localSheetId="7" hidden="1">#REF!</definedName>
    <definedName name="BLPH66" localSheetId="9" hidden="1">#REF!</definedName>
    <definedName name="BLPH66" localSheetId="8" hidden="1">#REF!</definedName>
    <definedName name="BLPH66" localSheetId="15" hidden="1">#REF!</definedName>
    <definedName name="BLPH66" hidden="1">#REF!</definedName>
    <definedName name="BLPH67" localSheetId="13" hidden="1">#REF!</definedName>
    <definedName name="BLPH67" localSheetId="7" hidden="1">#REF!</definedName>
    <definedName name="BLPH67" localSheetId="9" hidden="1">#REF!</definedName>
    <definedName name="BLPH67" localSheetId="8" hidden="1">#REF!</definedName>
    <definedName name="BLPH67" localSheetId="15" hidden="1">#REF!</definedName>
    <definedName name="BLPH67" hidden="1">#REF!</definedName>
    <definedName name="BLPH68" localSheetId="13" hidden="1">#REF!</definedName>
    <definedName name="BLPH68" localSheetId="7" hidden="1">#REF!</definedName>
    <definedName name="BLPH68" localSheetId="9" hidden="1">#REF!</definedName>
    <definedName name="BLPH68" localSheetId="8" hidden="1">#REF!</definedName>
    <definedName name="BLPH68" localSheetId="15" hidden="1">#REF!</definedName>
    <definedName name="BLPH68" hidden="1">#REF!</definedName>
    <definedName name="BLPH69" localSheetId="13" hidden="1">#REF!</definedName>
    <definedName name="BLPH69" localSheetId="7" hidden="1">#REF!</definedName>
    <definedName name="BLPH69" localSheetId="9" hidden="1">#REF!</definedName>
    <definedName name="BLPH69" localSheetId="8" hidden="1">#REF!</definedName>
    <definedName name="BLPH69" localSheetId="15" hidden="1">#REF!</definedName>
    <definedName name="BLPH69" hidden="1">#REF!</definedName>
    <definedName name="BLPH7" hidden="1">[12]Peer7!$AQ$3</definedName>
    <definedName name="BLPH70" localSheetId="13" hidden="1">#REF!</definedName>
    <definedName name="BLPH70" localSheetId="7" hidden="1">#REF!</definedName>
    <definedName name="BLPH70" localSheetId="9" hidden="1">#REF!</definedName>
    <definedName name="BLPH70" localSheetId="8" hidden="1">#REF!</definedName>
    <definedName name="BLPH70" localSheetId="15" hidden="1">#REF!</definedName>
    <definedName name="BLPH70" hidden="1">#REF!</definedName>
    <definedName name="BLPH71" localSheetId="13" hidden="1">#REF!</definedName>
    <definedName name="BLPH71" localSheetId="7" hidden="1">#REF!</definedName>
    <definedName name="BLPH71" localSheetId="9" hidden="1">#REF!</definedName>
    <definedName name="BLPH71" localSheetId="8" hidden="1">#REF!</definedName>
    <definedName name="BLPH71" localSheetId="15" hidden="1">#REF!</definedName>
    <definedName name="BLPH71" hidden="1">#REF!</definedName>
    <definedName name="BLPH72" localSheetId="13" hidden="1">#REF!</definedName>
    <definedName name="BLPH72" localSheetId="7" hidden="1">#REF!</definedName>
    <definedName name="BLPH72" localSheetId="9" hidden="1">#REF!</definedName>
    <definedName name="BLPH72" localSheetId="8" hidden="1">#REF!</definedName>
    <definedName name="BLPH72" localSheetId="15" hidden="1">#REF!</definedName>
    <definedName name="BLPH72" hidden="1">#REF!</definedName>
    <definedName name="BLPH73" localSheetId="13" hidden="1">#REF!</definedName>
    <definedName name="BLPH73" localSheetId="7" hidden="1">#REF!</definedName>
    <definedName name="BLPH73" localSheetId="9" hidden="1">#REF!</definedName>
    <definedName name="BLPH73" localSheetId="8" hidden="1">#REF!</definedName>
    <definedName name="BLPH73" localSheetId="15" hidden="1">#REF!</definedName>
    <definedName name="BLPH73" hidden="1">#REF!</definedName>
    <definedName name="BLPH74" localSheetId="13" hidden="1">#REF!</definedName>
    <definedName name="BLPH74" localSheetId="7" hidden="1">#REF!</definedName>
    <definedName name="BLPH74" localSheetId="9" hidden="1">#REF!</definedName>
    <definedName name="BLPH74" localSheetId="8" hidden="1">#REF!</definedName>
    <definedName name="BLPH74" localSheetId="15" hidden="1">#REF!</definedName>
    <definedName name="BLPH74" hidden="1">#REF!</definedName>
    <definedName name="BLPH75" localSheetId="13" hidden="1">#REF!</definedName>
    <definedName name="BLPH75" localSheetId="7" hidden="1">#REF!</definedName>
    <definedName name="BLPH75" localSheetId="9" hidden="1">#REF!</definedName>
    <definedName name="BLPH75" localSheetId="8" hidden="1">#REF!</definedName>
    <definedName name="BLPH75" localSheetId="15" hidden="1">#REF!</definedName>
    <definedName name="BLPH75" hidden="1">#REF!</definedName>
    <definedName name="BLPH76" localSheetId="13" hidden="1">#REF!</definedName>
    <definedName name="BLPH76" localSheetId="7" hidden="1">#REF!</definedName>
    <definedName name="BLPH76" localSheetId="9" hidden="1">#REF!</definedName>
    <definedName name="BLPH76" localSheetId="8" hidden="1">#REF!</definedName>
    <definedName name="BLPH76" localSheetId="15" hidden="1">#REF!</definedName>
    <definedName name="BLPH76" hidden="1">#REF!</definedName>
    <definedName name="BLPH77" localSheetId="13" hidden="1">#REF!</definedName>
    <definedName name="BLPH77" localSheetId="7" hidden="1">#REF!</definedName>
    <definedName name="BLPH77" localSheetId="9" hidden="1">#REF!</definedName>
    <definedName name="BLPH77" localSheetId="8" hidden="1">#REF!</definedName>
    <definedName name="BLPH77" localSheetId="15" hidden="1">#REF!</definedName>
    <definedName name="BLPH77" hidden="1">#REF!</definedName>
    <definedName name="BLPH78" localSheetId="13" hidden="1">#REF!</definedName>
    <definedName name="BLPH78" localSheetId="7" hidden="1">#REF!</definedName>
    <definedName name="BLPH78" localSheetId="9" hidden="1">#REF!</definedName>
    <definedName name="BLPH78" localSheetId="8" hidden="1">#REF!</definedName>
    <definedName name="BLPH78" localSheetId="15" hidden="1">#REF!</definedName>
    <definedName name="BLPH78" hidden="1">#REF!</definedName>
    <definedName name="BLPH79" localSheetId="13" hidden="1">#REF!</definedName>
    <definedName name="BLPH79" localSheetId="7" hidden="1">#REF!</definedName>
    <definedName name="BLPH79" localSheetId="9" hidden="1">#REF!</definedName>
    <definedName name="BLPH79" localSheetId="8" hidden="1">#REF!</definedName>
    <definedName name="BLPH79" localSheetId="15" hidden="1">#REF!</definedName>
    <definedName name="BLPH79" hidden="1">#REF!</definedName>
    <definedName name="BLPH8" hidden="1">[12]Peer8!$AQ$3</definedName>
    <definedName name="BLPH80" localSheetId="13" hidden="1">#REF!</definedName>
    <definedName name="BLPH80" localSheetId="7" hidden="1">#REF!</definedName>
    <definedName name="BLPH80" localSheetId="9" hidden="1">#REF!</definedName>
    <definedName name="BLPH80" localSheetId="8" hidden="1">#REF!</definedName>
    <definedName name="BLPH80" localSheetId="15" hidden="1">#REF!</definedName>
    <definedName name="BLPH80" hidden="1">#REF!</definedName>
    <definedName name="BLPH81" localSheetId="13" hidden="1">#REF!</definedName>
    <definedName name="BLPH81" localSheetId="7" hidden="1">#REF!</definedName>
    <definedName name="BLPH81" localSheetId="9" hidden="1">#REF!</definedName>
    <definedName name="BLPH81" localSheetId="8" hidden="1">#REF!</definedName>
    <definedName name="BLPH81" localSheetId="15" hidden="1">#REF!</definedName>
    <definedName name="BLPH81" hidden="1">#REF!</definedName>
    <definedName name="BLPH82" localSheetId="13" hidden="1">#REF!</definedName>
    <definedName name="BLPH82" localSheetId="7" hidden="1">#REF!</definedName>
    <definedName name="BLPH82" localSheetId="9" hidden="1">#REF!</definedName>
    <definedName name="BLPH82" localSheetId="8" hidden="1">#REF!</definedName>
    <definedName name="BLPH82" localSheetId="15" hidden="1">#REF!</definedName>
    <definedName name="BLPH82" hidden="1">#REF!</definedName>
    <definedName name="BLPH83" localSheetId="13" hidden="1">#REF!</definedName>
    <definedName name="BLPH83" localSheetId="7" hidden="1">#REF!</definedName>
    <definedName name="BLPH83" localSheetId="9" hidden="1">#REF!</definedName>
    <definedName name="BLPH83" localSheetId="8" hidden="1">#REF!</definedName>
    <definedName name="BLPH83" localSheetId="15" hidden="1">#REF!</definedName>
    <definedName name="BLPH83" hidden="1">#REF!</definedName>
    <definedName name="BLPH84" localSheetId="13" hidden="1">#REF!</definedName>
    <definedName name="BLPH84" localSheetId="7" hidden="1">#REF!</definedName>
    <definedName name="BLPH84" localSheetId="9" hidden="1">#REF!</definedName>
    <definedName name="BLPH84" localSheetId="8" hidden="1">#REF!</definedName>
    <definedName name="BLPH84" localSheetId="15" hidden="1">#REF!</definedName>
    <definedName name="BLPH84" hidden="1">#REF!</definedName>
    <definedName name="BLPH85" localSheetId="13" hidden="1">#REF!</definedName>
    <definedName name="BLPH85" localSheetId="7" hidden="1">#REF!</definedName>
    <definedName name="BLPH85" localSheetId="9" hidden="1">#REF!</definedName>
    <definedName name="BLPH85" localSheetId="8" hidden="1">#REF!</definedName>
    <definedName name="BLPH85" localSheetId="15" hidden="1">#REF!</definedName>
    <definedName name="BLPH85" hidden="1">#REF!</definedName>
    <definedName name="BLPH86" localSheetId="13" hidden="1">#REF!</definedName>
    <definedName name="BLPH86" localSheetId="7" hidden="1">#REF!</definedName>
    <definedName name="BLPH86" localSheetId="9" hidden="1">#REF!</definedName>
    <definedName name="BLPH86" localSheetId="8" hidden="1">#REF!</definedName>
    <definedName name="BLPH86" localSheetId="15" hidden="1">#REF!</definedName>
    <definedName name="BLPH86" hidden="1">#REF!</definedName>
    <definedName name="BLPH87" localSheetId="13" hidden="1">#REF!</definedName>
    <definedName name="BLPH87" localSheetId="7" hidden="1">#REF!</definedName>
    <definedName name="BLPH87" localSheetId="9" hidden="1">#REF!</definedName>
    <definedName name="BLPH87" localSheetId="8" hidden="1">#REF!</definedName>
    <definedName name="BLPH87" localSheetId="15" hidden="1">#REF!</definedName>
    <definedName name="BLPH87" hidden="1">#REF!</definedName>
    <definedName name="BLPH88" localSheetId="13" hidden="1">#REF!</definedName>
    <definedName name="BLPH88" localSheetId="7" hidden="1">#REF!</definedName>
    <definedName name="BLPH88" localSheetId="9" hidden="1">#REF!</definedName>
    <definedName name="BLPH88" localSheetId="8" hidden="1">#REF!</definedName>
    <definedName name="BLPH88" localSheetId="15" hidden="1">#REF!</definedName>
    <definedName name="BLPH88" hidden="1">#REF!</definedName>
    <definedName name="BLPH89" localSheetId="13" hidden="1">#REF!</definedName>
    <definedName name="BLPH89" localSheetId="7" hidden="1">#REF!</definedName>
    <definedName name="BLPH89" localSheetId="9" hidden="1">#REF!</definedName>
    <definedName name="BLPH89" localSheetId="8" hidden="1">#REF!</definedName>
    <definedName name="BLPH89" localSheetId="15" hidden="1">#REF!</definedName>
    <definedName name="BLPH89" hidden="1">#REF!</definedName>
    <definedName name="BLPH9" hidden="1">[12]Peer9!$AQ$3</definedName>
    <definedName name="BLPH90" localSheetId="13" hidden="1">#REF!</definedName>
    <definedName name="BLPH90" localSheetId="7" hidden="1">#REF!</definedName>
    <definedName name="BLPH90" localSheetId="9" hidden="1">#REF!</definedName>
    <definedName name="BLPH90" localSheetId="8" hidden="1">#REF!</definedName>
    <definedName name="BLPH90" localSheetId="15" hidden="1">#REF!</definedName>
    <definedName name="BLPH90" hidden="1">#REF!</definedName>
    <definedName name="BLPH91" localSheetId="13" hidden="1">#REF!</definedName>
    <definedName name="BLPH91" localSheetId="7" hidden="1">#REF!</definedName>
    <definedName name="BLPH91" localSheetId="9" hidden="1">#REF!</definedName>
    <definedName name="BLPH91" localSheetId="8" hidden="1">#REF!</definedName>
    <definedName name="BLPH91" localSheetId="15" hidden="1">#REF!</definedName>
    <definedName name="BLPH91" hidden="1">#REF!</definedName>
    <definedName name="BLPH92" localSheetId="13" hidden="1">#REF!</definedName>
    <definedName name="BLPH92" localSheetId="7" hidden="1">#REF!</definedName>
    <definedName name="BLPH92" localSheetId="9" hidden="1">#REF!</definedName>
    <definedName name="BLPH92" localSheetId="8" hidden="1">#REF!</definedName>
    <definedName name="BLPH92" localSheetId="15" hidden="1">#REF!</definedName>
    <definedName name="BLPH92" hidden="1">#REF!</definedName>
    <definedName name="BLPH93" localSheetId="13" hidden="1">#REF!</definedName>
    <definedName name="BLPH93" localSheetId="7" hidden="1">#REF!</definedName>
    <definedName name="BLPH93" localSheetId="9" hidden="1">#REF!</definedName>
    <definedName name="BLPH93" localSheetId="8" hidden="1">#REF!</definedName>
    <definedName name="BLPH93" localSheetId="15" hidden="1">#REF!</definedName>
    <definedName name="BLPH93" hidden="1">#REF!</definedName>
    <definedName name="BLPH94" localSheetId="13" hidden="1">#REF!</definedName>
    <definedName name="BLPH94" localSheetId="7" hidden="1">#REF!</definedName>
    <definedName name="BLPH94" localSheetId="9" hidden="1">#REF!</definedName>
    <definedName name="BLPH94" localSheetId="8" hidden="1">#REF!</definedName>
    <definedName name="BLPH94" localSheetId="15" hidden="1">#REF!</definedName>
    <definedName name="BLPH94" hidden="1">#REF!</definedName>
    <definedName name="BLPH95" localSheetId="13" hidden="1">#REF!</definedName>
    <definedName name="BLPH95" localSheetId="7" hidden="1">#REF!</definedName>
    <definedName name="BLPH95" localSheetId="9" hidden="1">#REF!</definedName>
    <definedName name="BLPH95" localSheetId="8" hidden="1">#REF!</definedName>
    <definedName name="BLPH95" localSheetId="15" hidden="1">#REF!</definedName>
    <definedName name="BLPH95" hidden="1">#REF!</definedName>
    <definedName name="BLPH96" localSheetId="13" hidden="1">#REF!</definedName>
    <definedName name="BLPH96" localSheetId="7" hidden="1">#REF!</definedName>
    <definedName name="BLPH96" localSheetId="9" hidden="1">#REF!</definedName>
    <definedName name="BLPH96" localSheetId="8" hidden="1">#REF!</definedName>
    <definedName name="BLPH96" localSheetId="15" hidden="1">#REF!</definedName>
    <definedName name="BLPH96" hidden="1">#REF!</definedName>
    <definedName name="BLPH97" localSheetId="13" hidden="1">#REF!</definedName>
    <definedName name="BLPH97" localSheetId="7" hidden="1">#REF!</definedName>
    <definedName name="BLPH97" localSheetId="9" hidden="1">#REF!</definedName>
    <definedName name="BLPH97" localSheetId="8" hidden="1">#REF!</definedName>
    <definedName name="BLPH97" localSheetId="15" hidden="1">#REF!</definedName>
    <definedName name="BLPH97" hidden="1">#REF!</definedName>
    <definedName name="BLPH98" localSheetId="13" hidden="1">#REF!</definedName>
    <definedName name="BLPH98" localSheetId="7" hidden="1">#REF!</definedName>
    <definedName name="BLPH98" localSheetId="9" hidden="1">#REF!</definedName>
    <definedName name="BLPH98" localSheetId="8" hidden="1">#REF!</definedName>
    <definedName name="BLPH98" localSheetId="15" hidden="1">#REF!</definedName>
    <definedName name="BLPH98" hidden="1">#REF!</definedName>
    <definedName name="BLPH99" localSheetId="13" hidden="1">#REF!</definedName>
    <definedName name="BLPH99" localSheetId="7" hidden="1">#REF!</definedName>
    <definedName name="BLPH99" localSheetId="9" hidden="1">#REF!</definedName>
    <definedName name="BLPH99" localSheetId="8" hidden="1">#REF!</definedName>
    <definedName name="BLPH99" localSheetId="15" hidden="1">#REF!</definedName>
    <definedName name="BLPH99" hidden="1">#REF!</definedName>
    <definedName name="case1" localSheetId="13">#REF!</definedName>
    <definedName name="case1" localSheetId="7">#REF!</definedName>
    <definedName name="case1" localSheetId="9">#REF!</definedName>
    <definedName name="case1" localSheetId="8">#REF!</definedName>
    <definedName name="case1" localSheetId="15">#REF!</definedName>
    <definedName name="case1">#REF!</definedName>
    <definedName name="CIQWBGuid" hidden="1">"acd54f24-c8e0-426f-993d-133037c16066"</definedName>
    <definedName name="consolidated" hidden="1">[14]FORECAST2000!$E$84:$E$156</definedName>
    <definedName name="Construction_end">[15]NTBA!$C$15</definedName>
    <definedName name="Conv_Factor">'[16]For Graphs'!$F$22</definedName>
    <definedName name="Corporate_tax_rate">[15]NTBA!$C$17</definedName>
    <definedName name="_xlnm.Database">[0]!_xlnm.Database</definedName>
    <definedName name="days">InpC!$F$24</definedName>
    <definedName name="Days_per_year">[15]NTBA!$C$9</definedName>
    <definedName name="Days_Prdn_per_year">[15]NTBA!$C$50</definedName>
    <definedName name="e" hidden="1">{"a",#N/A,FALSE,"Fact Sheet";"a",#N/A,FALSE,"DCFEVA";"a",#N/A,FALSE,"Statements";"a",#N/A,FALSE,"Quarterly";"a",#N/A,FALSE,"Q Grid";"a",#N/A,FALSE,"Stockval";"a",#N/A,FALSE,"DDM"}</definedName>
    <definedName name="Equity_drawing" localSheetId="13">[15]NTBA!#REF!</definedName>
    <definedName name="Equity_drawing" localSheetId="7">[15]NTBA!#REF!</definedName>
    <definedName name="Equity_drawing" localSheetId="9">[15]NTBA!#REF!</definedName>
    <definedName name="Equity_drawing" localSheetId="8">[15]NTBA!#REF!</definedName>
    <definedName name="Equity_drawing" localSheetId="15">[15]NTBA!#REF!</definedName>
    <definedName name="Equity_drawing">[15]NTBA!#REF!</definedName>
    <definedName name="EV__LASTREFTIME__" hidden="1">39092.4906944444</definedName>
    <definedName name="ExactAddinConnection" hidden="1">"160"</definedName>
    <definedName name="ExactAddinConnection.100" hidden="1">"exact-2003;100;mba;1"</definedName>
    <definedName name="ExactAddinConnection.110" hidden="1">"exact-2003;110;mba;1"</definedName>
    <definedName name="ExactAddinConnection.130" hidden="1">"EXACT-2003;130;mba;1"</definedName>
    <definedName name="ExactAddinConnection.140" hidden="1">"exact-2003;140;mba;1"</definedName>
    <definedName name="ExactAddinConnection.150" hidden="1">"exact-2003;150;mba;1"</definedName>
    <definedName name="ExactAddinConnection.160" hidden="1">"exact-2003;160;mba;1"</definedName>
    <definedName name="ExactAddinConnection.170" hidden="1">"exact-2003;170;mba;1"</definedName>
    <definedName name="fcast2" localSheetId="13" hidden="1">[14]FORECAST2000!#REF!</definedName>
    <definedName name="fcast2" localSheetId="7" hidden="1">[14]FORECAST2000!#REF!</definedName>
    <definedName name="fcast2" localSheetId="9" hidden="1">[14]FORECAST2000!#REF!</definedName>
    <definedName name="fcast2" localSheetId="8" hidden="1">[14]FORECAST2000!#REF!</definedName>
    <definedName name="fcast2" localSheetId="15" hidden="1">[14]FORECAST2000!#REF!</definedName>
    <definedName name="fcast2" hidden="1">[14]FORECAST2000!#REF!</definedName>
    <definedName name="First_drawdown" localSheetId="13">[15]NTBA!#REF!</definedName>
    <definedName name="First_drawdown" localSheetId="7">[15]NTBA!#REF!</definedName>
    <definedName name="First_drawdown" localSheetId="9">[15]NTBA!#REF!</definedName>
    <definedName name="First_drawdown" localSheetId="8">[15]NTBA!#REF!</definedName>
    <definedName name="First_drawdown" localSheetId="15">[15]NTBA!#REF!</definedName>
    <definedName name="First_drawdown">[15]NTBA!#REF!</definedName>
    <definedName name="Inventory_days">[15]NTBA!$C$111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INESS_DESCRIPTION" hidden="1">"c322"</definedName>
    <definedName name="IQ_BV_OVER_SHARES" hidden="1">"c1349"</definedName>
    <definedName name="IQ_BV_SHARE" hidden="1">"c100"</definedName>
    <definedName name="IQ_BV_SHARE_ACT_OR_EST" hidden="1">"c3587"</definedName>
    <definedName name="IQ_BV_SHARE_EST" hidden="1">"c3541"</definedName>
    <definedName name="IQ_BV_SHARE_HIGH_EST" hidden="1">"c3542"</definedName>
    <definedName name="IQ_BV_SHARE_LOW_EST" hidden="1">"c3543"</definedName>
    <definedName name="IQ_BV_SHARE_MEDIAN_EST" hidden="1">"c3544"</definedName>
    <definedName name="IQ_BV_SHARE_NUM_EST" hidden="1">"c3539"</definedName>
    <definedName name="IQ_BV_SHARE_STDDEV_EST" hidden="1">"c3540"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ACT_OR_EST" hidden="1">"c3584"</definedName>
    <definedName name="IQ_CAPEX_BNK" hidden="1">"c110"</definedName>
    <definedName name="IQ_CAPEX_BR" hidden="1">"c111"</definedName>
    <definedName name="IQ_CAPEX_EST" hidden="1">"c3523"</definedName>
    <definedName name="IQ_CAPEX_FIN" hidden="1">"c112"</definedName>
    <definedName name="IQ_CAPEX_HIGH_EST" hidden="1">"c3524"</definedName>
    <definedName name="IQ_CAPEX_INS" hidden="1">"c113"</definedName>
    <definedName name="IQ_CAPEX_LOW_EST" hidden="1">"c3525"</definedName>
    <definedName name="IQ_CAPEX_MEDIAN_EST" hidden="1">"c3526"</definedName>
    <definedName name="IQ_CAPEX_NUM_EST" hidden="1">"c3521"</definedName>
    <definedName name="IQ_CAPEX_STDDEV_EST" hidden="1">"c3522"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BV_SHARE" hidden="1">"c3549"</definedName>
    <definedName name="IQ_EST_ACT_CAPEX" hidden="1">"c3546"</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ET_DEBT" hidden="1">"c3545"</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TURN_ASSETS" hidden="1">"c3547"</definedName>
    <definedName name="IQ_EST_ACT_RETURN_EQUITY" hidden="1">"c3548"</definedName>
    <definedName name="IQ_EST_ACT_REV" hidden="1">"c2113"</definedName>
    <definedName name="IQ_EST_CAPEX_GROWTH_1YR" hidden="1">"c3588"</definedName>
    <definedName name="IQ_EST_CAPEX_GROWTH_2YR" hidden="1">"c3589"</definedName>
    <definedName name="IQ_EST_CAPEX_GROWTH_Q_1YR" hidden="1">"c3590"</definedName>
    <definedName name="IQ_EST_CAPEX_SEQ_GROWTH_Q" hidden="1">"c3591"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"06/25/2013 13:34:49"</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EBITDA" hidden="1">"c750"</definedName>
    <definedName name="IQ_NET_DEBT_EBITDA_CAPEX" hidden="1">"c2949"</definedName>
    <definedName name="IQ_NET_DEBT_EST" hidden="1">"c3517"</definedName>
    <definedName name="IQ_NET_DEBT_HIGH_EST" hidden="1">"c3518"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DEBT_LOW_EST" hidden="1">"c3519"</definedName>
    <definedName name="IQ_NET_DEBT_MEDIAN_EST" hidden="1">"c3520"</definedName>
    <definedName name="IQ_NET_DEBT_NUM_EST" hidden="1">"c3515"</definedName>
    <definedName name="IQ_NET_DEBT_STDDEV_EST" hidden="1">"c3516"</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FS" hidden="1">"c1116"</definedName>
    <definedName name="IQ_RETURN_ASSETS_HIGH_EST" hidden="1">"c3530"</definedName>
    <definedName name="IQ_RETURN_ASSETS_LOW_EST" hidden="1">"c3531"</definedName>
    <definedName name="IQ_RETURN_ASSETS_MEDIAN_EST" hidden="1">"c3532"</definedName>
    <definedName name="IQ_RETURN_ASSETS_NUM_EST" hidden="1">"c3527"</definedName>
    <definedName name="IQ_RETURN_ASSETS_STDDEV_EST" hidden="1">"c3528"</definedName>
    <definedName name="IQ_RETURN_CAPITAL" hidden="1">"c1117"</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FS" hidden="1">"c1121"</definedName>
    <definedName name="IQ_RETURN_EQUITY_HIGH_EST" hidden="1">"c3536"</definedName>
    <definedName name="IQ_RETURN_EQUITY_LOW_EST" hidden="1">"c3537"</definedName>
    <definedName name="IQ_RETURN_EQUITY_MEDIAN_EST" hidden="1">"c3538"</definedName>
    <definedName name="IQ_RETURN_EQUITY_NUM_EST" hidden="1">"c3533"</definedName>
    <definedName name="IQ_RETURN_EQUITY_STDDEV_EST" hidden="1">"c3534"</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39464.569224537</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B42" hidden="1">"$B$43"</definedName>
    <definedName name="IQRB43" hidden="1">"$B$44"</definedName>
    <definedName name="IQRC42" hidden="1">"$C$43"</definedName>
    <definedName name="IQRC61" hidden="1">"$C$62:$C$74"</definedName>
    <definedName name="IQRC76" hidden="1">"$C$77:$C$89"</definedName>
    <definedName name="IQRC8" hidden="1">"$C$9:$C$13"</definedName>
    <definedName name="IQRD61" hidden="1">"$D$62:$D$92"</definedName>
    <definedName name="IQRD76" hidden="1">"$D$77:$D$89"</definedName>
    <definedName name="IQRF61" hidden="1">"$F$62"</definedName>
    <definedName name="IQRG61" hidden="1">"$G$62:$G$71"</definedName>
    <definedName name="IQRH61" hidden="1">"$H$62:$H$63"</definedName>
    <definedName name="IQRI61" hidden="1">"$I$62"</definedName>
    <definedName name="IQRJ61" hidden="1">"$J$62"</definedName>
    <definedName name="IQRK61" hidden="1">"$K$62:$K$70"</definedName>
    <definedName name="kil" localSheetId="13" hidden="1">Main.SAPF4Help()</definedName>
    <definedName name="kil" localSheetId="11" hidden="1">Main.SAPF4Help()</definedName>
    <definedName name="kil" localSheetId="7" hidden="1">Main.SAPF4Help()</definedName>
    <definedName name="kil" localSheetId="10" hidden="1">Main.SAPF4Help()</definedName>
    <definedName name="kil" localSheetId="5" hidden="1">Main.SAPF4Help()</definedName>
    <definedName name="kil" localSheetId="9" hidden="1">Main.SAPF4Help()</definedName>
    <definedName name="kil" localSheetId="8" hidden="1">Main.SAPF4Help()</definedName>
    <definedName name="kil" localSheetId="2" hidden="1">Main.SAPF4Help()</definedName>
    <definedName name="kil" localSheetId="12" hidden="1">Main.SAPF4Help()</definedName>
    <definedName name="kil" localSheetId="15" hidden="1">Main.SAPF4Help()</definedName>
    <definedName name="kil" localSheetId="14" hidden="1">Main.SAPF4Help()</definedName>
    <definedName name="kil" hidden="1">Main.SAPF4Help()</definedName>
    <definedName name="limcount" hidden="1">2</definedName>
    <definedName name="mane" localSheetId="13" hidden="1">#REF!</definedName>
    <definedName name="mane" localSheetId="7" hidden="1">#REF!</definedName>
    <definedName name="mane" localSheetId="9" hidden="1">#REF!</definedName>
    <definedName name="mane" localSheetId="8" hidden="1">#REF!</definedName>
    <definedName name="mane" localSheetId="15" hidden="1">#REF!</definedName>
    <definedName name="mane" hidden="1">#REF!</definedName>
    <definedName name="Max_loan" localSheetId="13">[15]NTBA!#REF!</definedName>
    <definedName name="Max_loan" localSheetId="7">[15]NTBA!#REF!</definedName>
    <definedName name="Max_loan" localSheetId="9">[15]NTBA!#REF!</definedName>
    <definedName name="Max_loan" localSheetId="8">[15]NTBA!#REF!</definedName>
    <definedName name="Max_loan" localSheetId="15">[15]NTBA!#REF!</definedName>
    <definedName name="Max_loan">[15]NTBA!#REF!</definedName>
    <definedName name="Operations_start">[15]NTBA!$C$16</definedName>
    <definedName name="Payable_days">[15]NTBA!$C$112</definedName>
    <definedName name="_xlnm.Print_Area" localSheetId="13">Equity!$1:$6</definedName>
    <definedName name="_xlnm.Print_Area" localSheetId="11">FinCosts!$1:$15</definedName>
    <definedName name="_xlnm.Print_Area" localSheetId="7">FinStat!$1:$11</definedName>
    <definedName name="_xlnm.Print_Area" localSheetId="6">'FinStat Act'!$1:$11</definedName>
    <definedName name="_xlnm.Print_Area" localSheetId="10">FixdAssts!$1:$6</definedName>
    <definedName name="_xlnm.Print_Area" localSheetId="4">InpC!$A:$H</definedName>
    <definedName name="_xlnm.Print_Area" localSheetId="5">InpS!$1:$5</definedName>
    <definedName name="_xlnm.Print_Area" localSheetId="9">OpCost!$1:$6</definedName>
    <definedName name="_xlnm.Print_Area" localSheetId="8">OpRev!$1:$6</definedName>
    <definedName name="_xlnm.Print_Area" localSheetId="2">Summary!$E$2:$T$87</definedName>
    <definedName name="_xlnm.Print_Area" localSheetId="12">Tax!$1:$6</definedName>
    <definedName name="_xlnm.Print_Area" localSheetId="17">Temp!$1:$15</definedName>
    <definedName name="_xlnm.Print_Area" localSheetId="16">Time!$A$1:$BY$64</definedName>
    <definedName name="_xlnm.Print_Area" localSheetId="15">Valn!$1:$6</definedName>
    <definedName name="_xlnm.Print_Area" localSheetId="14">WorkCap!$1:$6</definedName>
    <definedName name="_xlnm.Print_Titles" localSheetId="13">Equity!$A:$G,Equity!$1:$5</definedName>
    <definedName name="_xlnm.Print_Titles" localSheetId="11">FinCosts!$A:$G,FinCosts!$1:$5</definedName>
    <definedName name="_xlnm.Print_Titles" localSheetId="7">FinStat!$A:$G,FinStat!$1:$5</definedName>
    <definedName name="_xlnm.Print_Titles" localSheetId="6">'FinStat Act'!$A:$G,'FinStat Act'!$1:$5</definedName>
    <definedName name="_xlnm.Print_Titles" localSheetId="10">FixdAssts!$A:$G,FixdAssts!$1:$5</definedName>
    <definedName name="_xlnm.Print_Titles" localSheetId="4">InpC!$A:$G,InpC!$1:$5</definedName>
    <definedName name="_xlnm.Print_Titles" localSheetId="5">InpS!$A:$G,InpS!$1:$5</definedName>
    <definedName name="_xlnm.Print_Titles" localSheetId="9">OpCost!$A:$G,OpCost!$1:$5</definedName>
    <definedName name="_xlnm.Print_Titles" localSheetId="8">OpRev!$A:$G,OpRev!$1:$5</definedName>
    <definedName name="_xlnm.Print_Titles" localSheetId="12">Tax!$A:$G,Tax!$1:$5</definedName>
    <definedName name="_xlnm.Print_Titles" localSheetId="17">Temp!$A:$G,Temp!$1:$5</definedName>
    <definedName name="_xlnm.Print_Titles" localSheetId="16">Time!$A:$G,Time!$1:$5</definedName>
    <definedName name="_xlnm.Print_Titles" localSheetId="15">Valn!$A:$G,Valn!$1:$5</definedName>
    <definedName name="_xlnm.Print_Titles" localSheetId="14">WorkCap!$A:$G,WorkCap!$1:$5</definedName>
    <definedName name="Project_start">[15]NTBA!$C$13</definedName>
    <definedName name="qqqqqqq" hidden="1">{#N/A,#N/A,FALSE,"YPF"}</definedName>
    <definedName name="Receivable_days">[15]NTBA!$C$110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 hidden="1">{#N/A,#N/A,FALSE,"Input";#N/A,#N/A,FALSE,"P&amp;L";#N/A,#N/A,FALSE,"CF";#N/A,#N/A,FALSE,"Econ"}</definedName>
    <definedName name="sadasd" hidden="1">{#N/A,#N/A,FALSE,"YPF"}</definedName>
    <definedName name="sap" localSheetId="13" hidden="1">Main()</definedName>
    <definedName name="sap" localSheetId="11" hidden="1">Main()</definedName>
    <definedName name="sap" localSheetId="7" hidden="1">Main()</definedName>
    <definedName name="sap" localSheetId="10" hidden="1">Main()</definedName>
    <definedName name="sap" localSheetId="5" hidden="1">Main()</definedName>
    <definedName name="sap" localSheetId="9" hidden="1">Main()</definedName>
    <definedName name="sap" localSheetId="8" hidden="1">Main()</definedName>
    <definedName name="sap" localSheetId="2" hidden="1">Main()</definedName>
    <definedName name="sap" localSheetId="12" hidden="1">Main()</definedName>
    <definedName name="sap" localSheetId="15" hidden="1">Main()</definedName>
    <definedName name="sap" localSheetId="14" hidden="1">Main()</definedName>
    <definedName name="sap" hidden="1">Main()</definedName>
    <definedName name="SAPBEXhrIndnt" hidden="1">1</definedName>
    <definedName name="SAPBEXrevision" hidden="1">1</definedName>
    <definedName name="SAPBEXsysID" hidden="1">"BPC"</definedName>
    <definedName name="SAPBEXwbID" hidden="1">"3X2OG9ZPMXQS5LWUEYOREMFJC"</definedName>
    <definedName name="SAPFuncF4Help" localSheetId="13" hidden="1">Main.SAPF4Help()</definedName>
    <definedName name="SAPFuncF4Help" localSheetId="11" hidden="1">Main.SAPF4Help()</definedName>
    <definedName name="SAPFuncF4Help" localSheetId="7" hidden="1">Main.SAPF4Help()</definedName>
    <definedName name="SAPFuncF4Help" localSheetId="10" hidden="1">Main.SAPF4Help()</definedName>
    <definedName name="SAPFuncF4Help" localSheetId="5" hidden="1">Main.SAPF4Help()</definedName>
    <definedName name="SAPFuncF4Help" localSheetId="9" hidden="1">Main.SAPF4Help()</definedName>
    <definedName name="SAPFuncF4Help" localSheetId="8" hidden="1">Main.SAPF4Help()</definedName>
    <definedName name="SAPFuncF4Help" localSheetId="2" hidden="1">Main.SAPF4Help()</definedName>
    <definedName name="SAPFuncF4Help" localSheetId="12" hidden="1">Main.SAPF4Help()</definedName>
    <definedName name="SAPFuncF4Help" localSheetId="15" hidden="1">Main.SAPF4Help()</definedName>
    <definedName name="SAPFuncF4Help" localSheetId="14" hidden="1">Main.SAPF4Help()</definedName>
    <definedName name="SAPFuncF4Help" hidden="1">Main.SAPF4Help()</definedName>
    <definedName name="sencount" hidden="1">1</definedName>
    <definedName name="smu">InpC!$F$22</definedName>
    <definedName name="Start7" localSheetId="13">#REF!</definedName>
    <definedName name="Start7" localSheetId="7">#REF!</definedName>
    <definedName name="Start7" localSheetId="9">#REF!</definedName>
    <definedName name="Start7" localSheetId="8">#REF!</definedName>
    <definedName name="Start7" localSheetId="15">#REF!</definedName>
    <definedName name="Start7">#REF!</definedName>
    <definedName name="subs" localSheetId="13" hidden="1">Main.SAPF4Help()</definedName>
    <definedName name="subs" localSheetId="11" hidden="1">Main.SAPF4Help()</definedName>
    <definedName name="subs" localSheetId="7" hidden="1">Main.SAPF4Help()</definedName>
    <definedName name="subs" localSheetId="10" hidden="1">Main.SAPF4Help()</definedName>
    <definedName name="subs" localSheetId="5" hidden="1">Main.SAPF4Help()</definedName>
    <definedName name="subs" localSheetId="9" hidden="1">Main.SAPF4Help()</definedName>
    <definedName name="subs" localSheetId="8" hidden="1">Main.SAPF4Help()</definedName>
    <definedName name="subs" localSheetId="2" hidden="1">Main.SAPF4Help()</definedName>
    <definedName name="subs" localSheetId="12" hidden="1">Main.SAPF4Help()</definedName>
    <definedName name="subs" localSheetId="15" hidden="1">Main.SAPF4Help()</definedName>
    <definedName name="subs" localSheetId="14" hidden="1">Main.SAPF4Help()</definedName>
    <definedName name="subs" hidden="1">Main.SAPF4Help()</definedName>
    <definedName name="tag_name" hidden="1">"stephengugu@gmail.com"</definedName>
    <definedName name="TextRefCopyRangeCount" hidden="1">230</definedName>
    <definedName name="UNI_AA_VERSION" hidden="1">"150.2.0"</definedName>
    <definedName name="UNI_FILT_END" hidden="1">8</definedName>
    <definedName name="UNI_FILT_OFFSPEC" hidden="1">2</definedName>
    <definedName name="UNI_FILT_ONSPEC" hidden="1">1</definedName>
    <definedName name="UNI_FILT_START" hidden="1">4</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RET_ATTRIB" hidden="1">64</definedName>
    <definedName name="UNI_RET_CONF" hidden="1">32</definedName>
    <definedName name="UNI_RET_DESC" hidden="1">4</definedName>
    <definedName name="UNI_RET_END" hidden="1">16384</definedName>
    <definedName name="UNI_RET_EQUIP" hidden="1">1</definedName>
    <definedName name="UNI_RET_EVENT" hidden="1">4096</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START" hidden="1">8192</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NIFORMANCES11R20C14" localSheetId="13" hidden="1">#REF!</definedName>
    <definedName name="UNIFORMANCES11R20C14" localSheetId="7" hidden="1">#REF!</definedName>
    <definedName name="UNIFORMANCES11R20C14" localSheetId="9" hidden="1">#REF!</definedName>
    <definedName name="UNIFORMANCES11R20C14" localSheetId="8" hidden="1">#REF!</definedName>
    <definedName name="UNIFORMANCES11R20C14" localSheetId="15" hidden="1">#REF!</definedName>
    <definedName name="UNIFORMANCES11R20C14" hidden="1">#REF!</definedName>
    <definedName name="UNIFORMANCES11R21C14" localSheetId="13" hidden="1">#REF!</definedName>
    <definedName name="UNIFORMANCES11R21C14" localSheetId="7" hidden="1">#REF!</definedName>
    <definedName name="UNIFORMANCES11R21C14" localSheetId="9" hidden="1">#REF!</definedName>
    <definedName name="UNIFORMANCES11R21C14" localSheetId="8" hidden="1">#REF!</definedName>
    <definedName name="UNIFORMANCES11R21C14" localSheetId="15" hidden="1">#REF!</definedName>
    <definedName name="UNIFORMANCES11R21C14" hidden="1">#REF!</definedName>
    <definedName name="UNIFORMANCES11R22C14" localSheetId="13" hidden="1">#REF!</definedName>
    <definedName name="UNIFORMANCES11R22C14" localSheetId="7" hidden="1">#REF!</definedName>
    <definedName name="UNIFORMANCES11R22C14" localSheetId="9" hidden="1">#REF!</definedName>
    <definedName name="UNIFORMANCES11R22C14" localSheetId="8" hidden="1">#REF!</definedName>
    <definedName name="UNIFORMANCES11R22C14" localSheetId="15" hidden="1">#REF!</definedName>
    <definedName name="UNIFORMANCES11R22C14" hidden="1">#REF!</definedName>
    <definedName name="UNIFORMANCES11R23C14" localSheetId="13" hidden="1">#REF!</definedName>
    <definedName name="UNIFORMANCES11R23C14" localSheetId="7" hidden="1">#REF!</definedName>
    <definedName name="UNIFORMANCES11R23C14" localSheetId="9" hidden="1">#REF!</definedName>
    <definedName name="UNIFORMANCES11R23C14" localSheetId="8" hidden="1">#REF!</definedName>
    <definedName name="UNIFORMANCES11R23C14" localSheetId="15" hidden="1">#REF!</definedName>
    <definedName name="UNIFORMANCES11R23C14" hidden="1">#REF!</definedName>
    <definedName name="UNIFORMANCES11R24C14" localSheetId="13" hidden="1">#REF!</definedName>
    <definedName name="UNIFORMANCES11R24C14" localSheetId="7" hidden="1">#REF!</definedName>
    <definedName name="UNIFORMANCES11R24C14" localSheetId="9" hidden="1">#REF!</definedName>
    <definedName name="UNIFORMANCES11R24C14" localSheetId="8" hidden="1">#REF!</definedName>
    <definedName name="UNIFORMANCES11R24C14" localSheetId="15" hidden="1">#REF!</definedName>
    <definedName name="UNIFORMANCES11R24C14" hidden="1">#REF!</definedName>
    <definedName name="UNIFORMANCES11R25C14" localSheetId="13" hidden="1">#REF!</definedName>
    <definedName name="UNIFORMANCES11R25C14" localSheetId="7" hidden="1">#REF!</definedName>
    <definedName name="UNIFORMANCES11R25C14" localSheetId="9" hidden="1">#REF!</definedName>
    <definedName name="UNIFORMANCES11R25C14" localSheetId="8" hidden="1">#REF!</definedName>
    <definedName name="UNIFORMANCES11R25C14" localSheetId="15" hidden="1">#REF!</definedName>
    <definedName name="UNIFORMANCES11R25C14" hidden="1">#REF!</definedName>
    <definedName name="UNIFORMANCES11R26C14" localSheetId="13" hidden="1">#REF!</definedName>
    <definedName name="UNIFORMANCES11R26C14" localSheetId="7" hidden="1">#REF!</definedName>
    <definedName name="UNIFORMANCES11R26C14" localSheetId="9" hidden="1">#REF!</definedName>
    <definedName name="UNIFORMANCES11R26C14" localSheetId="8" hidden="1">#REF!</definedName>
    <definedName name="UNIFORMANCES11R26C14" localSheetId="15" hidden="1">#REF!</definedName>
    <definedName name="UNIFORMANCES11R26C14" hidden="1">#REF!</definedName>
    <definedName name="UNIFORMANCES11R27C14" localSheetId="13" hidden="1">#REF!</definedName>
    <definedName name="UNIFORMANCES11R27C14" localSheetId="7" hidden="1">#REF!</definedName>
    <definedName name="UNIFORMANCES11R27C14" localSheetId="9" hidden="1">#REF!</definedName>
    <definedName name="UNIFORMANCES11R27C14" localSheetId="8" hidden="1">#REF!</definedName>
    <definedName name="UNIFORMANCES11R27C14" localSheetId="15" hidden="1">#REF!</definedName>
    <definedName name="UNIFORMANCES11R27C14" hidden="1">#REF!</definedName>
    <definedName name="UNIFORMANCES11R28C14" localSheetId="13" hidden="1">#REF!</definedName>
    <definedName name="UNIFORMANCES11R28C14" localSheetId="7" hidden="1">#REF!</definedName>
    <definedName name="UNIFORMANCES11R28C14" localSheetId="9" hidden="1">#REF!</definedName>
    <definedName name="UNIFORMANCES11R28C14" localSheetId="8" hidden="1">#REF!</definedName>
    <definedName name="UNIFORMANCES11R28C14" localSheetId="15" hidden="1">#REF!</definedName>
    <definedName name="UNIFORMANCES11R28C14" hidden="1">#REF!</definedName>
    <definedName name="UNIFORMANCES11R30C14" localSheetId="13" hidden="1">#REF!</definedName>
    <definedName name="UNIFORMANCES11R30C14" localSheetId="7" hidden="1">#REF!</definedName>
    <definedName name="UNIFORMANCES11R30C14" localSheetId="9" hidden="1">#REF!</definedName>
    <definedName name="UNIFORMANCES11R30C14" localSheetId="8" hidden="1">#REF!</definedName>
    <definedName name="UNIFORMANCES11R30C14" localSheetId="15" hidden="1">#REF!</definedName>
    <definedName name="UNIFORMANCES11R30C14" hidden="1">#REF!</definedName>
    <definedName name="UNIFORMANCES11R31C14" localSheetId="13" hidden="1">#REF!</definedName>
    <definedName name="UNIFORMANCES11R31C14" localSheetId="7" hidden="1">#REF!</definedName>
    <definedName name="UNIFORMANCES11R31C14" localSheetId="9" hidden="1">#REF!</definedName>
    <definedName name="UNIFORMANCES11R31C14" localSheetId="8" hidden="1">#REF!</definedName>
    <definedName name="UNIFORMANCES11R31C14" localSheetId="15" hidden="1">#REF!</definedName>
    <definedName name="UNIFORMANCES11R31C14" hidden="1">#REF!</definedName>
    <definedName name="UNIFORMANCES11R32C14" localSheetId="13" hidden="1">#REF!</definedName>
    <definedName name="UNIFORMANCES11R32C14" localSheetId="7" hidden="1">#REF!</definedName>
    <definedName name="UNIFORMANCES11R32C14" localSheetId="9" hidden="1">#REF!</definedName>
    <definedName name="UNIFORMANCES11R32C14" localSheetId="8" hidden="1">#REF!</definedName>
    <definedName name="UNIFORMANCES11R32C14" localSheetId="15" hidden="1">#REF!</definedName>
    <definedName name="UNIFORMANCES11R32C14" hidden="1">#REF!</definedName>
    <definedName name="UNIFORMANCES11R33C14" localSheetId="13" hidden="1">#REF!</definedName>
    <definedName name="UNIFORMANCES11R33C14" localSheetId="7" hidden="1">#REF!</definedName>
    <definedName name="UNIFORMANCES11R33C14" localSheetId="9" hidden="1">#REF!</definedName>
    <definedName name="UNIFORMANCES11R33C14" localSheetId="8" hidden="1">#REF!</definedName>
    <definedName name="UNIFORMANCES11R33C14" localSheetId="15" hidden="1">#REF!</definedName>
    <definedName name="UNIFORMANCES11R33C14" hidden="1">#REF!</definedName>
    <definedName name="UNIFORMANCES11R34C14" localSheetId="13" hidden="1">#REF!</definedName>
    <definedName name="UNIFORMANCES11R34C14" localSheetId="7" hidden="1">#REF!</definedName>
    <definedName name="UNIFORMANCES11R34C14" localSheetId="9" hidden="1">#REF!</definedName>
    <definedName name="UNIFORMANCES11R34C14" localSheetId="8" hidden="1">#REF!</definedName>
    <definedName name="UNIFORMANCES11R34C14" localSheetId="15" hidden="1">#REF!</definedName>
    <definedName name="UNIFORMANCES11R34C14" hidden="1">#REF!</definedName>
    <definedName name="UNIFORMANCES11R35C14" localSheetId="13" hidden="1">#REF!</definedName>
    <definedName name="UNIFORMANCES11R35C14" localSheetId="7" hidden="1">#REF!</definedName>
    <definedName name="UNIFORMANCES11R35C14" localSheetId="9" hidden="1">#REF!</definedName>
    <definedName name="UNIFORMANCES11R35C14" localSheetId="8" hidden="1">#REF!</definedName>
    <definedName name="UNIFORMANCES11R35C14" localSheetId="15" hidden="1">#REF!</definedName>
    <definedName name="UNIFORMANCES11R35C14" hidden="1">#REF!</definedName>
    <definedName name="UNIFORMANCES11R36C14" localSheetId="13" hidden="1">#REF!</definedName>
    <definedName name="UNIFORMANCES11R36C14" localSheetId="7" hidden="1">#REF!</definedName>
    <definedName name="UNIFORMANCES11R36C14" localSheetId="9" hidden="1">#REF!</definedName>
    <definedName name="UNIFORMANCES11R36C14" localSheetId="8" hidden="1">#REF!</definedName>
    <definedName name="UNIFORMANCES11R36C14" localSheetId="15" hidden="1">#REF!</definedName>
    <definedName name="UNIFORMANCES11R36C14" hidden="1">#REF!</definedName>
    <definedName name="UNIFORMANCES11R37C14" localSheetId="13" hidden="1">#REF!</definedName>
    <definedName name="UNIFORMANCES11R37C14" localSheetId="7" hidden="1">#REF!</definedName>
    <definedName name="UNIFORMANCES11R37C14" localSheetId="9" hidden="1">#REF!</definedName>
    <definedName name="UNIFORMANCES11R37C14" localSheetId="8" hidden="1">#REF!</definedName>
    <definedName name="UNIFORMANCES11R37C14" localSheetId="15" hidden="1">#REF!</definedName>
    <definedName name="UNIFORMANCES11R37C14" hidden="1">#REF!</definedName>
    <definedName name="UNIFORMANCES11R44C14" localSheetId="13" hidden="1">#REF!</definedName>
    <definedName name="UNIFORMANCES11R44C14" localSheetId="7" hidden="1">#REF!</definedName>
    <definedName name="UNIFORMANCES11R44C14" localSheetId="9" hidden="1">#REF!</definedName>
    <definedName name="UNIFORMANCES11R44C14" localSheetId="8" hidden="1">#REF!</definedName>
    <definedName name="UNIFORMANCES11R44C14" localSheetId="15" hidden="1">#REF!</definedName>
    <definedName name="UNIFORMANCES11R44C14" hidden="1">#REF!</definedName>
    <definedName name="UNIFORMANCES11R45C14" localSheetId="13" hidden="1">#REF!</definedName>
    <definedName name="UNIFORMANCES11R45C14" localSheetId="7" hidden="1">#REF!</definedName>
    <definedName name="UNIFORMANCES11R45C14" localSheetId="9" hidden="1">#REF!</definedName>
    <definedName name="UNIFORMANCES11R45C14" localSheetId="8" hidden="1">#REF!</definedName>
    <definedName name="UNIFORMANCES11R45C14" localSheetId="15" hidden="1">#REF!</definedName>
    <definedName name="UNIFORMANCES11R45C14" hidden="1">#REF!</definedName>
    <definedName name="UNIFORMANCES12R10C19" hidden="1" xml:space="preserve">    '[17]H2 '!$S$10</definedName>
    <definedName name="UNIFORMANCES12R11C19" hidden="1" xml:space="preserve">    '[17]H2 '!$S$11</definedName>
    <definedName name="UNIFORMANCES12R47C19" hidden="1" xml:space="preserve">    '[17]H2 '!$S$47</definedName>
    <definedName name="UNIFORMANCES2R318C9" hidden="1">'[18]Raw Data'!$I$318</definedName>
    <definedName name="UNIFORMANCES2R567C9" hidden="1">'[18]Raw Data'!$I$567</definedName>
    <definedName name="UNIFORMANCES2R67C9" hidden="1">'[18]Raw Data'!$I$67</definedName>
    <definedName name="UNIFORMANCES2R99C9" hidden="1">'[18]Raw Data'!$I$99</definedName>
    <definedName name="UNIFORMANCES3R37C5" hidden="1">[19]Utility!$E$37</definedName>
    <definedName name="UNIFORMANCES4R100C17" hidden="1">[19]Fuel분석!$Q$100</definedName>
    <definedName name="UNIFORMANCES4R100C18" hidden="1">[19]Fuel분석!$R$100</definedName>
    <definedName name="UNIFORMANCES4R100C19" hidden="1">[19]Fuel분석!$S$100</definedName>
    <definedName name="UNIFORMANCES4R100C20" hidden="1">[19]Fuel분석!$T$100</definedName>
    <definedName name="UNIFORMANCES4R100C21" hidden="1">[19]Fuel분석!$U$100</definedName>
    <definedName name="UNIFORMANCES4R100C22" hidden="1">[19]Fuel분석!$V$100</definedName>
    <definedName name="UNIFORMANCES4R101C17" hidden="1">[19]Fuel분석!$Q$101</definedName>
    <definedName name="UNIFORMANCES4R101C18" hidden="1">[19]Fuel분석!$R$101</definedName>
    <definedName name="UNIFORMANCES4R101C19" hidden="1">[19]Fuel분석!$S$101</definedName>
    <definedName name="UNIFORMANCES4R101C20" hidden="1">[19]Fuel분석!$T$101</definedName>
    <definedName name="UNIFORMANCES4R101C21" hidden="1">[19]Fuel분석!$U$101</definedName>
    <definedName name="UNIFORMANCES4R101C22" hidden="1">[19]Fuel분석!$V$101</definedName>
    <definedName name="UNIFORMANCES4R102C17" hidden="1">[19]Fuel분석!$Q$102</definedName>
    <definedName name="UNIFORMANCES4R102C18" hidden="1">[19]Fuel분석!$R$102</definedName>
    <definedName name="UNIFORMANCES4R102C19" hidden="1">[19]Fuel분석!$S$102</definedName>
    <definedName name="UNIFORMANCES4R102C20" hidden="1">[19]Fuel분석!$T$102</definedName>
    <definedName name="UNIFORMANCES4R102C21" hidden="1">[19]Fuel분석!$U$102</definedName>
    <definedName name="UNIFORMANCES4R102C22" hidden="1">[19]Fuel분석!$V$102</definedName>
    <definedName name="UNIFORMANCES4R103C17" hidden="1">[19]Fuel분석!$Q$103</definedName>
    <definedName name="UNIFORMANCES4R103C18" hidden="1">[19]Fuel분석!$R$103</definedName>
    <definedName name="UNIFORMANCES4R103C19" hidden="1">[19]Fuel분석!$S$103</definedName>
    <definedName name="UNIFORMANCES4R103C20" hidden="1">[19]Fuel분석!$T$103</definedName>
    <definedName name="UNIFORMANCES4R103C21" hidden="1">[19]Fuel분석!$U$103</definedName>
    <definedName name="UNIFORMANCES4R103C22" hidden="1">[19]Fuel분석!$V$103</definedName>
    <definedName name="UNIFORMANCES4R104C17" hidden="1">[19]Fuel분석!$Q$104</definedName>
    <definedName name="UNIFORMANCES4R104C18" hidden="1">[19]Fuel분석!$R$104</definedName>
    <definedName name="UNIFORMANCES4R104C19" hidden="1">[19]Fuel분석!$S$104</definedName>
    <definedName name="UNIFORMANCES4R104C20" hidden="1">[19]Fuel분석!$T$104</definedName>
    <definedName name="UNIFORMANCES4R104C21" hidden="1">[19]Fuel분석!$U$104</definedName>
    <definedName name="UNIFORMANCES4R104C22" hidden="1">[19]Fuel분석!$V$104</definedName>
    <definedName name="UNIFORMANCES4R10C17" hidden="1">[19]Fuel분석!$Q$10</definedName>
    <definedName name="UNIFORMANCES4R10C18" hidden="1">[19]Fuel분석!$R$10</definedName>
    <definedName name="UNIFORMANCES4R10C19" hidden="1">[19]Fuel분석!$S$10</definedName>
    <definedName name="UNIFORMANCES4R10C20" hidden="1">[19]Fuel분석!$T$10</definedName>
    <definedName name="UNIFORMANCES4R10C21" hidden="1">[19]Fuel분석!$U$10</definedName>
    <definedName name="UNIFORMANCES4R10C22" hidden="1">[19]Fuel분석!$V$10</definedName>
    <definedName name="UNIFORMANCES4R11C17" hidden="1">[19]Fuel분석!$Q$11</definedName>
    <definedName name="UNIFORMANCES4R11C18" hidden="1">[19]Fuel분석!$R$11</definedName>
    <definedName name="UNIFORMANCES4R12C17" hidden="1">[19]Fuel분석!$Q$12</definedName>
    <definedName name="UNIFORMANCES4R12C18" hidden="1">[19]Fuel분석!$R$12</definedName>
    <definedName name="UNIFORMANCES4R12C19" hidden="1">[19]Fuel분석!$S$12</definedName>
    <definedName name="UNIFORMANCES4R12C20" hidden="1">[19]Fuel분석!$T$12</definedName>
    <definedName name="UNIFORMANCES4R12C21" hidden="1">[19]Fuel분석!$U$12</definedName>
    <definedName name="UNIFORMANCES4R12C22" hidden="1">[19]Fuel분석!$V$12</definedName>
    <definedName name="UNIFORMANCES4R12C26" hidden="1">[19]Fuel분석!$Z$12</definedName>
    <definedName name="UNIFORMANCES4R12C27" hidden="1">[19]Fuel분석!$AA$12</definedName>
    <definedName name="UNIFORMANCES4R13C17" hidden="1">[19]Fuel분석!$Q$13</definedName>
    <definedName name="UNIFORMANCES4R13C18" hidden="1">[19]Fuel분석!$R$13</definedName>
    <definedName name="UNIFORMANCES4R14C17" hidden="1">[19]Fuel분석!$Q$14</definedName>
    <definedName name="UNIFORMANCES4R14C18" hidden="1">[19]Fuel분석!$R$14</definedName>
    <definedName name="UNIFORMANCES4R15C17" hidden="1">[19]Fuel분석!$Q$15</definedName>
    <definedName name="UNIFORMANCES4R15C18" hidden="1">[19]Fuel분석!$R$15</definedName>
    <definedName name="UNIFORMANCES4R15C19" hidden="1">[19]Fuel분석!$S$15</definedName>
    <definedName name="UNIFORMANCES4R15C20" hidden="1">[19]Fuel분석!$T$15</definedName>
    <definedName name="UNIFORMANCES4R15C21" hidden="1">[19]Fuel분석!$U$15</definedName>
    <definedName name="UNIFORMANCES4R15C22" hidden="1">[19]Fuel분석!$V$15</definedName>
    <definedName name="UNIFORMANCES4R19C17" hidden="1">[19]Fuel분석!$Q$19</definedName>
    <definedName name="UNIFORMANCES4R19C18" hidden="1">[19]Fuel분석!$R$19</definedName>
    <definedName name="UNIFORMANCES4R19C19" hidden="1">[19]Fuel분석!$S$19</definedName>
    <definedName name="UNIFORMANCES4R19C20" hidden="1">[19]Fuel분석!$T$19</definedName>
    <definedName name="UNIFORMANCES4R19C21" hidden="1">[19]Fuel분석!$U$19</definedName>
    <definedName name="UNIFORMANCES4R19C22" hidden="1">[19]Fuel분석!$V$19</definedName>
    <definedName name="UNIFORMANCES4R19C25" hidden="1">[19]Fuel분석!$Y$19</definedName>
    <definedName name="UNIFORMANCES4R20C17" hidden="1">[19]Fuel분석!$Q$20</definedName>
    <definedName name="UNIFORMANCES4R20C18" hidden="1">[19]Fuel분석!$R$20</definedName>
    <definedName name="UNIFORMANCES4R20C19" hidden="1">[19]Fuel분석!$S$20</definedName>
    <definedName name="UNIFORMANCES4R20C20" hidden="1">[19]Fuel분석!$T$20</definedName>
    <definedName name="UNIFORMANCES4R20C21" hidden="1">[19]Fuel분석!$U$20</definedName>
    <definedName name="UNIFORMANCES4R20C22" hidden="1">[19]Fuel분석!$V$20</definedName>
    <definedName name="UNIFORMANCES4R21C17" hidden="1">[19]Fuel분석!$Q$21</definedName>
    <definedName name="UNIFORMANCES4R21C18" hidden="1">[19]Fuel분석!$R$21</definedName>
    <definedName name="UNIFORMANCES4R21C19" hidden="1">[19]Fuel분석!$S$21</definedName>
    <definedName name="UNIFORMANCES4R21C20" hidden="1">[19]Fuel분석!$T$21</definedName>
    <definedName name="UNIFORMANCES4R21C21" hidden="1">[19]Fuel분석!$U$21</definedName>
    <definedName name="UNIFORMANCES4R21C22" hidden="1">[19]Fuel분석!$V$21</definedName>
    <definedName name="UNIFORMANCES4R21C27" hidden="1">[19]Fuel분석!$AA$21</definedName>
    <definedName name="UNIFORMANCES4R25C17" hidden="1">[19]Fuel분석!$Q$25</definedName>
    <definedName name="UNIFORMANCES4R25C18" hidden="1">[19]Fuel분석!$R$25</definedName>
    <definedName name="UNIFORMANCES4R25C19" hidden="1">[19]Fuel분석!$S$25</definedName>
    <definedName name="UNIFORMANCES4R25C20" hidden="1">[19]Fuel분석!$T$25</definedName>
    <definedName name="UNIFORMANCES4R25C21" hidden="1">[19]Fuel분석!$U$25</definedName>
    <definedName name="UNIFORMANCES4R25C22" hidden="1">[19]Fuel분석!$V$25</definedName>
    <definedName name="UNIFORMANCES4R25C25" hidden="1">[19]Fuel분석!$Y$25</definedName>
    <definedName name="UNIFORMANCES4R26C17" hidden="1">[19]Fuel분석!$Q$26</definedName>
    <definedName name="UNIFORMANCES4R26C18" hidden="1">[19]Fuel분석!$R$26</definedName>
    <definedName name="UNIFORMANCES4R26C19" hidden="1">[19]Fuel분석!$S$26</definedName>
    <definedName name="UNIFORMANCES4R26C20" hidden="1">[19]Fuel분석!$T$26</definedName>
    <definedName name="UNIFORMANCES4R26C21" hidden="1">[19]Fuel분석!$U$26</definedName>
    <definedName name="UNIFORMANCES4R26C22" hidden="1">[19]Fuel분석!$V$26</definedName>
    <definedName name="UNIFORMANCES4R27C17" hidden="1">[19]Fuel분석!$Q$27</definedName>
    <definedName name="UNIFORMANCES4R27C18" hidden="1">[19]Fuel분석!$R$27</definedName>
    <definedName name="UNIFORMANCES4R27C19" hidden="1">[19]Fuel분석!$S$27</definedName>
    <definedName name="UNIFORMANCES4R27C20" hidden="1">[19]Fuel분석!$T$27</definedName>
    <definedName name="UNIFORMANCES4R27C21" hidden="1">[19]Fuel분석!$U$27</definedName>
    <definedName name="UNIFORMANCES4R27C22" hidden="1">[19]Fuel분석!$V$27</definedName>
    <definedName name="UNIFORMANCES4R28C17" hidden="1">[19]Fuel분석!$Q$28</definedName>
    <definedName name="UNIFORMANCES4R28C18" hidden="1">[19]Fuel분석!$R$28</definedName>
    <definedName name="UNIFORMANCES4R28C19" hidden="1">[19]Fuel분석!$S$28</definedName>
    <definedName name="UNIFORMANCES4R28C20" hidden="1">[19]Fuel분석!$T$28</definedName>
    <definedName name="UNIFORMANCES4R28C21" hidden="1">[19]Fuel분석!$U$28</definedName>
    <definedName name="UNIFORMANCES4R28C22" hidden="1">[19]Fuel분석!$V$28</definedName>
    <definedName name="UNIFORMANCES4R28C27" hidden="1">[19]Fuel분석!$AA$28</definedName>
    <definedName name="UNIFORMANCES4R29C17" hidden="1">[19]Fuel분석!$Q$29</definedName>
    <definedName name="UNIFORMANCES4R29C18" hidden="1">[19]Fuel분석!$R$29</definedName>
    <definedName name="UNIFORMANCES4R29C19" hidden="1">[19]Fuel분석!$S$29</definedName>
    <definedName name="UNIFORMANCES4R29C20" hidden="1">[19]Fuel분석!$T$29</definedName>
    <definedName name="UNIFORMANCES4R29C21" hidden="1">[19]Fuel분석!$U$29</definedName>
    <definedName name="UNIFORMANCES4R29C22" hidden="1">[19]Fuel분석!$V$29</definedName>
    <definedName name="UNIFORMANCES4R30C17" hidden="1">[19]Fuel분석!$Q$30</definedName>
    <definedName name="UNIFORMANCES4R30C18" hidden="1">[19]Fuel분석!$R$30</definedName>
    <definedName name="UNIFORMANCES4R30C19" hidden="1">[19]Fuel분석!$S$30</definedName>
    <definedName name="UNIFORMANCES4R30C20" hidden="1">[19]Fuel분석!$T$30</definedName>
    <definedName name="UNIFORMANCES4R30C21" hidden="1">[19]Fuel분석!$U$30</definedName>
    <definedName name="UNIFORMANCES4R30C22" hidden="1">[19]Fuel분석!$V$30</definedName>
    <definedName name="UNIFORMANCES4R31C17" hidden="1">[19]Fuel분석!$Q$31</definedName>
    <definedName name="UNIFORMANCES4R31C18" hidden="1">[19]Fuel분석!$R$31</definedName>
    <definedName name="UNIFORMANCES4R31C19" hidden="1">[19]Fuel분석!$S$31</definedName>
    <definedName name="UNIFORMANCES4R31C20" hidden="1">[19]Fuel분석!$T$31</definedName>
    <definedName name="UNIFORMANCES4R31C21" hidden="1">[19]Fuel분석!$U$31</definedName>
    <definedName name="UNIFORMANCES4R31C22" hidden="1">[19]Fuel분석!$V$31</definedName>
    <definedName name="UNIFORMANCES4R31C27" hidden="1">[19]Fuel분석!$AA$31</definedName>
    <definedName name="UNIFORMANCES4R32C17" hidden="1">[19]Fuel분석!$Q$32</definedName>
    <definedName name="UNIFORMANCES4R32C18" hidden="1">[19]Fuel분석!$R$32</definedName>
    <definedName name="UNIFORMANCES4R32C19" hidden="1">[19]Fuel분석!$S$32</definedName>
    <definedName name="UNIFORMANCES4R32C20" hidden="1">[19]Fuel분석!$T$32</definedName>
    <definedName name="UNIFORMANCES4R32C21" hidden="1">[19]Fuel분석!$U$32</definedName>
    <definedName name="UNIFORMANCES4R32C22" hidden="1">[19]Fuel분석!$V$32</definedName>
    <definedName name="UNIFORMANCES4R33C17" hidden="1">[19]Fuel분석!$Q$33</definedName>
    <definedName name="UNIFORMANCES4R33C18" hidden="1">[19]Fuel분석!$R$33</definedName>
    <definedName name="UNIFORMANCES4R33C19" hidden="1">[19]Fuel분석!$S$33</definedName>
    <definedName name="UNIFORMANCES4R33C20" hidden="1">[19]Fuel분석!$T$33</definedName>
    <definedName name="UNIFORMANCES4R33C21" hidden="1">[19]Fuel분석!$U$33</definedName>
    <definedName name="UNIFORMANCES4R33C22" hidden="1">[19]Fuel분석!$V$33</definedName>
    <definedName name="UNIFORMANCES4R34C17" hidden="1">[19]Fuel분석!$Q$34</definedName>
    <definedName name="UNIFORMANCES4R34C18" hidden="1">[19]Fuel분석!$R$34</definedName>
    <definedName name="UNIFORMANCES4R34C19" hidden="1">[19]Fuel분석!$S$34</definedName>
    <definedName name="UNIFORMANCES4R34C20" hidden="1">[19]Fuel분석!$T$34</definedName>
    <definedName name="UNIFORMANCES4R34C21" hidden="1">[19]Fuel분석!$U$34</definedName>
    <definedName name="UNIFORMANCES4R34C22" hidden="1">[19]Fuel분석!$V$34</definedName>
    <definedName name="UNIFORMANCES4R38C17" hidden="1">[19]Fuel분석!$Q$38</definedName>
    <definedName name="UNIFORMANCES4R38C18" hidden="1">[19]Fuel분석!$R$38</definedName>
    <definedName name="UNIFORMANCES4R38C19" hidden="1">[19]Fuel분석!$S$38</definedName>
    <definedName name="UNIFORMANCES4R38C20" hidden="1">[19]Fuel분석!$T$38</definedName>
    <definedName name="UNIFORMANCES4R38C21" hidden="1">[19]Fuel분석!$U$38</definedName>
    <definedName name="UNIFORMANCES4R38C22" hidden="1">[19]Fuel분석!$V$38</definedName>
    <definedName name="UNIFORMANCES4R38C27" hidden="1">[19]Fuel분석!$AA$38</definedName>
    <definedName name="UNIFORMANCES4R39C20" hidden="1">[19]Fuel분석!$T$39</definedName>
    <definedName name="UNIFORMANCES4R39C21" hidden="1">[19]Fuel분석!$U$39</definedName>
    <definedName name="UNIFORMANCES4R40C20" hidden="1">[19]Fuel분석!$T$40</definedName>
    <definedName name="UNIFORMANCES4R40C21" hidden="1">[19]Fuel분석!$U$40</definedName>
    <definedName name="UNIFORMANCES4R40C22" hidden="1">[19]Fuel분석!$V$40</definedName>
    <definedName name="UNIFORMANCES4R41C20" hidden="1">[19]Fuel분석!$T$41</definedName>
    <definedName name="UNIFORMANCES4R41C21" hidden="1">[19]Fuel분석!$U$41</definedName>
    <definedName name="UNIFORMANCES4R45C17" hidden="1">[19]Fuel분석!$Q$45</definedName>
    <definedName name="UNIFORMANCES4R45C18" hidden="1">[19]Fuel분석!$R$45</definedName>
    <definedName name="UNIFORMANCES4R45C19" hidden="1">[19]Fuel분석!$S$45</definedName>
    <definedName name="UNIFORMANCES4R45C20" hidden="1">[19]Fuel분석!$T$45</definedName>
    <definedName name="UNIFORMANCES4R45C21" hidden="1">[19]Fuel분석!$U$45</definedName>
    <definedName name="UNIFORMANCES4R45C22" hidden="1">[19]Fuel분석!$V$45</definedName>
    <definedName name="UNIFORMANCES4R45C25" hidden="1">[19]Fuel분석!$Y$45</definedName>
    <definedName name="UNIFORMANCES4R46C17" hidden="1">[19]Fuel분석!$Q$46</definedName>
    <definedName name="UNIFORMANCES4R46C18" hidden="1">[19]Fuel분석!$R$46</definedName>
    <definedName name="UNIFORMANCES4R46C19" hidden="1">[19]Fuel분석!$S$46</definedName>
    <definedName name="UNIFORMANCES4R46C20" hidden="1">[19]Fuel분석!$T$46</definedName>
    <definedName name="UNIFORMANCES4R46C21" hidden="1">[19]Fuel분석!$U$46</definedName>
    <definedName name="UNIFORMANCES4R46C22" hidden="1">[19]Fuel분석!$V$46</definedName>
    <definedName name="UNIFORMANCES4R47C17" hidden="1">[19]Fuel분석!$Q$47</definedName>
    <definedName name="UNIFORMANCES4R47C18" hidden="1">[19]Fuel분석!$R$47</definedName>
    <definedName name="UNIFORMANCES4R47C19" hidden="1">[19]Fuel분석!$S$47</definedName>
    <definedName name="UNIFORMANCES4R47C20" hidden="1">[19]Fuel분석!$T$47</definedName>
    <definedName name="UNIFORMANCES4R47C21" hidden="1">[19]Fuel분석!$U$47</definedName>
    <definedName name="UNIFORMANCES4R47C22" hidden="1">[19]Fuel분석!$V$47</definedName>
    <definedName name="UNIFORMANCES4R47C27" hidden="1">[19]Fuel분석!$AA$47</definedName>
    <definedName name="UNIFORMANCES4R48C17" hidden="1">[19]Fuel분석!$Q$48</definedName>
    <definedName name="UNIFORMANCES4R48C18" hidden="1">[19]Fuel분석!$R$48</definedName>
    <definedName name="UNIFORMANCES4R48C19" hidden="1">[19]Fuel분석!$S$48</definedName>
    <definedName name="UNIFORMANCES4R48C20" hidden="1">[19]Fuel분석!$T$48</definedName>
    <definedName name="UNIFORMANCES4R48C21" hidden="1">[19]Fuel분석!$U$48</definedName>
    <definedName name="UNIFORMANCES4R48C22" hidden="1">[19]Fuel분석!$V$48</definedName>
    <definedName name="UNIFORMANCES4R49C17" hidden="1">[19]Fuel분석!$Q$49</definedName>
    <definedName name="UNIFORMANCES4R49C18" hidden="1">[19]Fuel분석!$R$49</definedName>
    <definedName name="UNIFORMANCES4R49C19" hidden="1">[19]Fuel분석!$S$49</definedName>
    <definedName name="UNIFORMANCES4R49C20" hidden="1">[19]Fuel분석!$T$49</definedName>
    <definedName name="UNIFORMANCES4R49C21" hidden="1">[19]Fuel분석!$U$49</definedName>
    <definedName name="UNIFORMANCES4R49C22" hidden="1">[19]Fuel분석!$V$49</definedName>
    <definedName name="UNIFORMANCES4R49C27" hidden="1">[19]Fuel분석!$AA$49</definedName>
    <definedName name="UNIFORMANCES4R53C17" hidden="1">[19]Fuel분석!$Q$53</definedName>
    <definedName name="UNIFORMANCES4R53C18" hidden="1">[19]Fuel분석!$R$53</definedName>
    <definedName name="UNIFORMANCES4R53C20" hidden="1">[19]Fuel분석!$T$53</definedName>
    <definedName name="UNIFORMANCES4R53C21" hidden="1">[19]Fuel분석!$U$53</definedName>
    <definedName name="UNIFORMANCES4R53C22" hidden="1">[19]Fuel분석!$V$53</definedName>
    <definedName name="UNIFORMANCES4R54C17" hidden="1">[19]Fuel분석!$Q$54</definedName>
    <definedName name="UNIFORMANCES4R54C18" hidden="1">[19]Fuel분석!$R$54</definedName>
    <definedName name="UNIFORMANCES4R54C20" hidden="1">[19]Fuel분석!$T$54</definedName>
    <definedName name="UNIFORMANCES4R54C21" hidden="1">[19]Fuel분석!$U$54</definedName>
    <definedName name="UNIFORMANCES4R54C22" hidden="1">[19]Fuel분석!$V$54</definedName>
    <definedName name="UNIFORMANCES4R55C11" hidden="1">[19]Fuel분석!$K$55</definedName>
    <definedName name="UNIFORMANCES4R55C20" hidden="1">[19]Fuel분석!$T$55</definedName>
    <definedName name="UNIFORMANCES4R55C21" hidden="1">[19]Fuel분석!$U$55</definedName>
    <definedName name="UNIFORMANCES4R56C17" hidden="1">[19]Fuel분석!$Q$56</definedName>
    <definedName name="UNIFORMANCES4R56C18" hidden="1">[19]Fuel분석!$R$56</definedName>
    <definedName name="UNIFORMANCES4R56C20" hidden="1">[19]Fuel분석!$T$56</definedName>
    <definedName name="UNIFORMANCES4R56C21" hidden="1">[19]Fuel분석!$U$56</definedName>
    <definedName name="UNIFORMANCES4R57C17" hidden="1">[19]Fuel분석!$Q$57</definedName>
    <definedName name="UNIFORMANCES4R57C18" hidden="1">[19]Fuel분석!$R$57</definedName>
    <definedName name="UNIFORMANCES4R57C20" hidden="1">[19]Fuel분석!$T$57</definedName>
    <definedName name="UNIFORMANCES4R57C21" hidden="1">[19]Fuel분석!$U$57</definedName>
    <definedName name="UNIFORMANCES4R58C17" hidden="1">[19]Fuel분석!$Q$58</definedName>
    <definedName name="UNIFORMANCES4R58C18" hidden="1">[19]Fuel분석!$R$58</definedName>
    <definedName name="UNIFORMANCES4R58C20" hidden="1">[19]Fuel분석!$T$58</definedName>
    <definedName name="UNIFORMANCES4R58C21" hidden="1">[19]Fuel분석!$U$58</definedName>
    <definedName name="UNIFORMANCES4R62C20" hidden="1">[19]Fuel분석!$T$62</definedName>
    <definedName name="UNIFORMANCES4R63C20" hidden="1">[19]Fuel분석!$T$63</definedName>
    <definedName name="UNIFORMANCES4R63C21" hidden="1">[19]Fuel분석!$U$63</definedName>
    <definedName name="UNIFORMANCES4R64C20" hidden="1">[19]Fuel분석!$T$64</definedName>
    <definedName name="UNIFORMANCES4R64C21" hidden="1">[19]Fuel분석!$U$64</definedName>
    <definedName name="UNIFORMANCES4R65C17" hidden="1">[19]Fuel분석!$Q$65</definedName>
    <definedName name="UNIFORMANCES4R65C18" hidden="1">[19]Fuel분석!$R$65</definedName>
    <definedName name="UNIFORMANCES4R65C20" hidden="1">[19]Fuel분석!$T$65</definedName>
    <definedName name="UNIFORMANCES4R65C21" hidden="1">[19]Fuel분석!$U$65</definedName>
    <definedName name="UNIFORMANCES4R66C17" hidden="1">[19]Fuel분석!$Q$66</definedName>
    <definedName name="UNIFORMANCES4R66C18" hidden="1">[19]Fuel분석!$R$66</definedName>
    <definedName name="UNIFORMANCES4R66C20" hidden="1">[19]Fuel분석!$T$66</definedName>
    <definedName name="UNIFORMANCES4R70C20" hidden="1">[19]Fuel분석!$T$70</definedName>
    <definedName name="UNIFORMANCES4R71C17" hidden="1">[19]Fuel분석!$Q$71</definedName>
    <definedName name="UNIFORMANCES4R71C18" hidden="1">[19]Fuel분석!$R$71</definedName>
    <definedName name="UNIFORMANCES4R71C20" hidden="1">[19]Fuel분석!$T$71</definedName>
    <definedName name="UNIFORMANCES4R71C21" hidden="1">[19]Fuel분석!$U$71</definedName>
    <definedName name="UNIFORMANCES4R72C17" hidden="1">[19]Fuel분석!$Q$72</definedName>
    <definedName name="UNIFORMANCES4R72C18" hidden="1">[19]Fuel분석!$R$72</definedName>
    <definedName name="UNIFORMANCES4R72C20" hidden="1">[19]Fuel분석!$T$72</definedName>
    <definedName name="UNIFORMANCES4R72C21" hidden="1">[19]Fuel분석!$U$72</definedName>
    <definedName name="UNIFORMANCES4R73C17" hidden="1">[19]Fuel분석!$Q$73</definedName>
    <definedName name="UNIFORMANCES4R73C18" hidden="1">[19]Fuel분석!$R$73</definedName>
    <definedName name="UNIFORMANCES4R73C20" hidden="1">[19]Fuel분석!$T$73</definedName>
    <definedName name="UNIFORMANCES4R73C21" hidden="1">[19]Fuel분석!$U$73</definedName>
    <definedName name="UNIFORMANCES4R77C17" hidden="1">[19]Fuel분석!$Q$77</definedName>
    <definedName name="UNIFORMANCES4R77C18" hidden="1">[19]Fuel분석!$R$77</definedName>
    <definedName name="UNIFORMANCES4R77C20" hidden="1">[19]Fuel분석!$T$77</definedName>
    <definedName name="UNIFORMANCES4R77C21" hidden="1">[19]Fuel분석!$U$77</definedName>
    <definedName name="UNIFORMANCES4R77C22" hidden="1">[19]Fuel분석!$V$77</definedName>
    <definedName name="UNIFORMANCES4R77C26" hidden="1">[19]Fuel분석!$Z$77</definedName>
    <definedName name="UNIFORMANCES4R77C27" hidden="1">[19]Fuel분석!$AA$77</definedName>
    <definedName name="UNIFORMANCES4R78C17" hidden="1">[19]Fuel분석!$Q$78</definedName>
    <definedName name="UNIFORMANCES4R78C18" hidden="1">[19]Fuel분석!$R$78</definedName>
    <definedName name="UNIFORMANCES4R78C20" hidden="1">[19]Fuel분석!$T$78</definedName>
    <definedName name="UNIFORMANCES4R78C21" hidden="1">[19]Fuel분석!$U$78</definedName>
    <definedName name="UNIFORMANCES4R78C22" hidden="1">[19]Fuel분석!$V$78</definedName>
    <definedName name="UNIFORMANCES4R79C17" hidden="1">[19]Fuel분석!$Q$79</definedName>
    <definedName name="UNIFORMANCES4R79C18" hidden="1">[19]Fuel분석!$R$79</definedName>
    <definedName name="UNIFORMANCES4R79C20" hidden="1">[19]Fuel분석!$T$79</definedName>
    <definedName name="UNIFORMANCES4R79C21" hidden="1">[19]Fuel분석!$U$79</definedName>
    <definedName name="UNIFORMANCES4R79C22" hidden="1">[19]Fuel분석!$V$79</definedName>
    <definedName name="UNIFORMANCES4R7C17" hidden="1">[19]Fuel분석!$Q$7</definedName>
    <definedName name="UNIFORMANCES4R7C18" hidden="1">[19]Fuel분석!$R$7</definedName>
    <definedName name="UNIFORMANCES4R7C19" hidden="1">[19]Fuel분석!$S$7</definedName>
    <definedName name="UNIFORMANCES4R7C20" hidden="1">[19]Fuel분석!$T$7</definedName>
    <definedName name="UNIFORMANCES4R7C21" hidden="1">[19]Fuel분석!$U$7</definedName>
    <definedName name="UNIFORMANCES4R7C22" hidden="1">[19]Fuel분석!$V$7</definedName>
    <definedName name="UNIFORMANCES4R7C25" hidden="1">[19]Fuel분석!$Y$7</definedName>
    <definedName name="UNIFORMANCES4R80C17" hidden="1">[19]Fuel분석!$Q$80</definedName>
    <definedName name="UNIFORMANCES4R80C18" hidden="1">[19]Fuel분석!$R$80</definedName>
    <definedName name="UNIFORMANCES4R80C20" hidden="1">[19]Fuel분석!$T$80</definedName>
    <definedName name="UNIFORMANCES4R80C21" hidden="1">[19]Fuel분석!$U$80</definedName>
    <definedName name="UNIFORMANCES4R80C22" hidden="1">[19]Fuel분석!$V$80</definedName>
    <definedName name="UNIFORMANCES4R81C17" hidden="1">[19]Fuel분석!$Q$81</definedName>
    <definedName name="UNIFORMANCES4R81C18" hidden="1">[19]Fuel분석!$R$81</definedName>
    <definedName name="UNIFORMANCES4R81C19" hidden="1">[19]Fuel분석!$S$81</definedName>
    <definedName name="UNIFORMANCES4R81C20" hidden="1">[19]Fuel분석!$T$81</definedName>
    <definedName name="UNIFORMANCES4R81C21" hidden="1">[19]Fuel분석!$U$81</definedName>
    <definedName name="UNIFORMANCES4R81C22" hidden="1">[19]Fuel분석!$V$81</definedName>
    <definedName name="UNIFORMANCES4R82C17" hidden="1">[19]Fuel분석!$Q$82</definedName>
    <definedName name="UNIFORMANCES4R82C18" hidden="1">[19]Fuel분석!$R$82</definedName>
    <definedName name="UNIFORMANCES4R82C19" hidden="1">[19]Fuel분석!$S$82</definedName>
    <definedName name="UNIFORMANCES4R82C20" hidden="1">[19]Fuel분석!$T$82</definedName>
    <definedName name="UNIFORMANCES4R82C21" hidden="1">[19]Fuel분석!$U$82</definedName>
    <definedName name="UNIFORMANCES4R82C22" hidden="1">[19]Fuel분석!$V$82</definedName>
    <definedName name="UNIFORMANCES4R82C27" hidden="1">[19]Fuel분석!$AA$82</definedName>
    <definedName name="UNIFORMANCES4R83C17" hidden="1">[19]Fuel분석!$Q$83</definedName>
    <definedName name="UNIFORMANCES4R83C18" hidden="1">[19]Fuel분석!$R$83</definedName>
    <definedName name="UNIFORMANCES4R83C19" hidden="1">[19]Fuel분석!$S$83</definedName>
    <definedName name="UNIFORMANCES4R83C20" hidden="1">[19]Fuel분석!$T$83</definedName>
    <definedName name="UNIFORMANCES4R83C21" hidden="1">[19]Fuel분석!$U$83</definedName>
    <definedName name="UNIFORMANCES4R83C22" hidden="1">[19]Fuel분석!$V$83</definedName>
    <definedName name="UNIFORMANCES4R84C17" hidden="1">[19]Fuel분석!$Q$84</definedName>
    <definedName name="UNIFORMANCES4R84C18" hidden="1">[19]Fuel분석!$R$84</definedName>
    <definedName name="UNIFORMANCES4R84C19" hidden="1">[19]Fuel분석!$S$84</definedName>
    <definedName name="UNIFORMANCES4R84C20" hidden="1">[19]Fuel분석!$T$84</definedName>
    <definedName name="UNIFORMANCES4R84C21" hidden="1">[19]Fuel분석!$U$84</definedName>
    <definedName name="UNIFORMANCES4R84C22" hidden="1">[19]Fuel분석!$V$84</definedName>
    <definedName name="UNIFORMANCES4R84C26" hidden="1">[19]Fuel분석!$Z$84</definedName>
    <definedName name="UNIFORMANCES4R84C27" hidden="1">[19]Fuel분석!$AA$84</definedName>
    <definedName name="UNIFORMANCES4R85C17" hidden="1">[19]Fuel분석!$Q$85</definedName>
    <definedName name="UNIFORMANCES4R85C18" hidden="1">[19]Fuel분석!$R$85</definedName>
    <definedName name="UNIFORMANCES4R85C19" hidden="1">[19]Fuel분석!$S$85</definedName>
    <definedName name="UNIFORMANCES4R85C20" hidden="1">[19]Fuel분석!$T$85</definedName>
    <definedName name="UNIFORMANCES4R85C21" hidden="1">[19]Fuel분석!$U$85</definedName>
    <definedName name="UNIFORMANCES4R85C22" hidden="1">[19]Fuel분석!$V$85</definedName>
    <definedName name="UNIFORMANCES4R86C17" hidden="1">[19]Fuel분석!$Q$86</definedName>
    <definedName name="UNIFORMANCES4R86C18" hidden="1">[19]Fuel분석!$R$86</definedName>
    <definedName name="UNIFORMANCES4R86C19" hidden="1">[19]Fuel분석!$S$86</definedName>
    <definedName name="UNIFORMANCES4R86C20" hidden="1">[19]Fuel분석!$T$86</definedName>
    <definedName name="UNIFORMANCES4R86C21" hidden="1">[19]Fuel분석!$U$86</definedName>
    <definedName name="UNIFORMANCES4R86C22" hidden="1">[19]Fuel분석!$V$86</definedName>
    <definedName name="UNIFORMANCES4R87C17" hidden="1">[19]Fuel분석!$Q$87</definedName>
    <definedName name="UNIFORMANCES4R87C18" hidden="1">[19]Fuel분석!$R$87</definedName>
    <definedName name="UNIFORMANCES4R87C19" hidden="1">[19]Fuel분석!$S$87</definedName>
    <definedName name="UNIFORMANCES4R87C20" hidden="1">[19]Fuel분석!$T$87</definedName>
    <definedName name="UNIFORMANCES4R87C21" hidden="1">[19]Fuel분석!$U$87</definedName>
    <definedName name="UNIFORMANCES4R87C22" hidden="1">[19]Fuel분석!$V$87</definedName>
    <definedName name="UNIFORMANCES4R88C17" hidden="1">[19]Fuel분석!$Q$88</definedName>
    <definedName name="UNIFORMANCES4R88C18" hidden="1">[19]Fuel분석!$R$88</definedName>
    <definedName name="UNIFORMANCES4R88C19" hidden="1">[19]Fuel분석!$S$88</definedName>
    <definedName name="UNIFORMANCES4R88C20" hidden="1">[19]Fuel분석!$T$88</definedName>
    <definedName name="UNIFORMANCES4R88C21" hidden="1">[19]Fuel분석!$U$88</definedName>
    <definedName name="UNIFORMANCES4R88C22" hidden="1">[19]Fuel분석!$V$88</definedName>
    <definedName name="UNIFORMANCES4R89C17" hidden="1">[19]Fuel분석!$Q$89</definedName>
    <definedName name="UNIFORMANCES4R89C18" hidden="1">[19]Fuel분석!$R$89</definedName>
    <definedName name="UNIFORMANCES4R89C19" hidden="1">[19]Fuel분석!$S$89</definedName>
    <definedName name="UNIFORMANCES4R89C20" hidden="1">[19]Fuel분석!$T$89</definedName>
    <definedName name="UNIFORMANCES4R89C21" hidden="1">[19]Fuel분석!$U$89</definedName>
    <definedName name="UNIFORMANCES4R89C22" hidden="1">[19]Fuel분석!$V$89</definedName>
    <definedName name="UNIFORMANCES4R89C27" hidden="1">[19]Fuel분석!$AA$89</definedName>
    <definedName name="UNIFORMANCES4R8C17" hidden="1">[19]Fuel분석!$Q$8</definedName>
    <definedName name="UNIFORMANCES4R8C18" hidden="1">[19]Fuel분석!$R$8</definedName>
    <definedName name="UNIFORMANCES4R8C19" hidden="1">[19]Fuel분석!$S$8</definedName>
    <definedName name="UNIFORMANCES4R8C20" hidden="1">[19]Fuel분석!$T$8</definedName>
    <definedName name="UNIFORMANCES4R8C21" hidden="1">[19]Fuel분석!$U$8</definedName>
    <definedName name="UNIFORMANCES4R8C22" hidden="1">[19]Fuel분석!$V$8</definedName>
    <definedName name="UNIFORMANCES4R90C17" hidden="1">[19]Fuel분석!$Q$90</definedName>
    <definedName name="UNIFORMANCES4R90C18" hidden="1">[19]Fuel분석!$R$90</definedName>
    <definedName name="UNIFORMANCES4R90C19" hidden="1">[19]Fuel분석!$S$90</definedName>
    <definedName name="UNIFORMANCES4R90C20" hidden="1">[19]Fuel분석!$T$90</definedName>
    <definedName name="UNIFORMANCES4R90C21" hidden="1">[19]Fuel분석!$U$90</definedName>
    <definedName name="UNIFORMANCES4R90C22" hidden="1">[19]Fuel분석!$V$90</definedName>
    <definedName name="UNIFORMANCES4R94C17" hidden="1">[19]Fuel분석!$Q$94</definedName>
    <definedName name="UNIFORMANCES4R94C18" hidden="1">[19]Fuel분석!$R$94</definedName>
    <definedName name="UNIFORMANCES4R94C19" hidden="1">[19]Fuel분석!$S$94</definedName>
    <definedName name="UNIFORMANCES4R94C20" hidden="1">[19]Fuel분석!$T$94</definedName>
    <definedName name="UNIFORMANCES4R94C21" hidden="1">[19]Fuel분석!$U$94</definedName>
    <definedName name="UNIFORMANCES4R94C22" hidden="1">[19]Fuel분석!$V$94</definedName>
    <definedName name="UNIFORMANCES4R95C17" hidden="1">[19]Fuel분석!$Q$95</definedName>
    <definedName name="UNIFORMANCES4R95C18" hidden="1">[19]Fuel분석!$R$95</definedName>
    <definedName name="UNIFORMANCES4R95C19" hidden="1">[19]Fuel분석!$S$95</definedName>
    <definedName name="UNIFORMANCES4R95C20" hidden="1">[19]Fuel분석!$T$95</definedName>
    <definedName name="UNIFORMANCES4R95C21" hidden="1">[19]Fuel분석!$U$95</definedName>
    <definedName name="UNIFORMANCES4R95C22" hidden="1">[19]Fuel분석!$V$95</definedName>
    <definedName name="UNIFORMANCES4R96C17" hidden="1">[19]Fuel분석!$Q$96</definedName>
    <definedName name="UNIFORMANCES4R96C18" hidden="1">[19]Fuel분석!$R$96</definedName>
    <definedName name="UNIFORMANCES4R96C19" hidden="1">[19]Fuel분석!$S$96</definedName>
    <definedName name="UNIFORMANCES4R96C20" hidden="1">[19]Fuel분석!$T$96</definedName>
    <definedName name="UNIFORMANCES4R96C21" hidden="1">[19]Fuel분석!$U$96</definedName>
    <definedName name="UNIFORMANCES4R96C22" hidden="1">[19]Fuel분석!$V$96</definedName>
    <definedName name="UNIFORMANCES4R97C17" hidden="1">[19]Fuel분석!$Q$97</definedName>
    <definedName name="UNIFORMANCES4R97C18" hidden="1">[19]Fuel분석!$R$97</definedName>
    <definedName name="UNIFORMANCES4R97C19" hidden="1">[19]Fuel분석!$S$97</definedName>
    <definedName name="UNIFORMANCES4R97C20" hidden="1">[19]Fuel분석!$T$97</definedName>
    <definedName name="UNIFORMANCES4R97C21" hidden="1">[19]Fuel분석!$U$97</definedName>
    <definedName name="UNIFORMANCES4R97C22" hidden="1">[19]Fuel분석!$V$97</definedName>
    <definedName name="UNIFORMANCES4R98C17" hidden="1">[19]Fuel분석!$Q$98</definedName>
    <definedName name="UNIFORMANCES4R98C18" hidden="1">[19]Fuel분석!$R$98</definedName>
    <definedName name="UNIFORMANCES4R98C19" hidden="1">[19]Fuel분석!$S$98</definedName>
    <definedName name="UNIFORMANCES4R98C20" hidden="1">[19]Fuel분석!$T$98</definedName>
    <definedName name="UNIFORMANCES4R98C21" hidden="1">[19]Fuel분석!$U$98</definedName>
    <definedName name="UNIFORMANCES4R98C22" hidden="1">[19]Fuel분석!$V$98</definedName>
    <definedName name="UNIFORMANCES4R99C17" hidden="1">[19]Fuel분석!$Q$99</definedName>
    <definedName name="UNIFORMANCES4R99C18" hidden="1">[19]Fuel분석!$R$99</definedName>
    <definedName name="UNIFORMANCES4R99C19" hidden="1">[19]Fuel분석!$S$99</definedName>
    <definedName name="UNIFORMANCES4R99C20" hidden="1">[19]Fuel분석!$T$99</definedName>
    <definedName name="UNIFORMANCES4R99C21" hidden="1">[19]Fuel분석!$U$99</definedName>
    <definedName name="UNIFORMANCES4R99C22" hidden="1">[19]Fuel분석!$V$99</definedName>
    <definedName name="UNIFORMANCES4R9C17" hidden="1">[19]Fuel분석!$Q$9</definedName>
    <definedName name="UNIFORMANCES4R9C18" hidden="1">[19]Fuel분석!$R$9</definedName>
    <definedName name="UNIFORMANCES4R9C19" hidden="1">[19]Fuel분석!$S$9</definedName>
    <definedName name="UNIFORMANCES4R9C20" hidden="1">[19]Fuel분석!$T$9</definedName>
    <definedName name="UNIFORMANCES4R9C21" hidden="1">[19]Fuel분석!$U$9</definedName>
    <definedName name="UNIFORMANCES4R9C22" hidden="1">[19]Fuel분석!$V$9</definedName>
    <definedName name="UNIFORMANCES4R9C27" hidden="1">[19]Fuel분석!$AA$9</definedName>
    <definedName name="WACC">'[15]Project Appraisal'!$C$46</definedName>
    <definedName name="wrn.Annual." hidden="1">{#N/A,#N/A,FALSE,"YPF"}</definedName>
    <definedName name="wrn.MOBIL." hidden="1">{"quarter",#N/A,FALSE,"MOB"}</definedName>
    <definedName name="wrn.report." hidden="1">{"a",#N/A,FALSE,"Fact Sheet";"a",#N/A,FALSE,"DCFEVA";"a",#N/A,FALSE,"Statements";"a",#N/A,FALSE,"Quarterly";"a",#N/A,FALSE,"Q Grid";"a",#N/A,FALSE,"Stockval";"a",#N/A,FALSE,"DDM"}</definedName>
    <definedName name="x" localSheetId="13" hidden="1">[13]Beregninger!#REF!</definedName>
    <definedName name="x" localSheetId="7" hidden="1">[13]Beregninger!#REF!</definedName>
    <definedName name="x" localSheetId="9" hidden="1">[13]Beregninger!#REF!</definedName>
    <definedName name="x" localSheetId="8" hidden="1">[13]Beregninger!#REF!</definedName>
    <definedName name="x" localSheetId="15" hidden="1">[13]Beregninger!#REF!</definedName>
    <definedName name="x" hidden="1">[13]Beregninger!#REF!</definedName>
    <definedName name="Year_1">[15]NTBA!$C$5</definedName>
    <definedName name="z" hidden="1">{#N/A,#N/A,FALSE,"Input";#N/A,#N/A,FALSE,"Sum";#N/A,#N/A,FALSE,"P&amp;L";#N/A,#N/A,FALSE,"CF";#N/A,#N/A,FALSE,"Bal";#N/A,#N/A,FALSE,"Econ"}</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78" l="1"/>
  <c r="K26" i="78"/>
  <c r="L26" i="78"/>
  <c r="M26" i="78"/>
  <c r="N26" i="78"/>
  <c r="O26" i="78"/>
  <c r="P26" i="78"/>
  <c r="Q26" i="78"/>
  <c r="R26" i="78"/>
  <c r="S26" i="78"/>
  <c r="T26" i="78"/>
  <c r="G18" i="76"/>
  <c r="F13" i="70" s="1"/>
  <c r="H18" i="76"/>
  <c r="F19" i="70" s="1"/>
  <c r="E19" i="70" s="1" a="1"/>
  <c r="E19" i="70" s="1"/>
  <c r="I18" i="76"/>
  <c r="F31" i="70" s="1"/>
  <c r="E31" i="70" s="1" a="1"/>
  <c r="E31" i="70" s="1"/>
  <c r="AB26" i="78"/>
  <c r="AC26" i="78"/>
  <c r="AD26" i="78"/>
  <c r="AE26" i="78"/>
  <c r="AA26" i="78"/>
  <c r="AA25" i="78"/>
  <c r="AB25" i="78"/>
  <c r="AC25" i="78"/>
  <c r="AD25" i="78"/>
  <c r="AE25" i="78"/>
  <c r="Z25" i="78"/>
  <c r="AA21" i="78"/>
  <c r="AB21" i="78"/>
  <c r="AC21" i="78"/>
  <c r="AD21" i="78"/>
  <c r="AE21" i="78"/>
  <c r="Z21" i="78"/>
  <c r="AA16" i="78"/>
  <c r="AB16" i="78"/>
  <c r="AC16" i="78"/>
  <c r="AD16" i="78"/>
  <c r="AE16" i="78"/>
  <c r="Z16" i="78"/>
  <c r="AA12" i="78"/>
  <c r="AB12" i="78"/>
  <c r="AC12" i="78"/>
  <c r="AD12" i="78"/>
  <c r="AE12" i="78"/>
  <c r="Z12" i="78"/>
  <c r="AA8" i="78"/>
  <c r="AB8" i="78"/>
  <c r="AC8" i="78"/>
  <c r="AD8" i="78"/>
  <c r="AE8" i="78"/>
  <c r="AF8" i="78"/>
  <c r="AG8" i="78"/>
  <c r="AH8" i="78"/>
  <c r="AI8" i="78"/>
  <c r="AJ8" i="78"/>
  <c r="AK8" i="78"/>
  <c r="Z8" i="78"/>
  <c r="AK7" i="78"/>
  <c r="AJ7" i="78"/>
  <c r="AI7" i="78"/>
  <c r="AH7" i="78"/>
  <c r="AG7" i="78"/>
  <c r="AF7" i="78"/>
  <c r="AE7" i="78"/>
  <c r="AD7" i="78"/>
  <c r="AC7" i="78"/>
  <c r="AB7" i="78"/>
  <c r="AA7" i="78"/>
  <c r="Z7" i="78"/>
  <c r="V5" i="78"/>
  <c r="K18" i="76"/>
  <c r="F60" i="48" s="1"/>
  <c r="J18" i="76"/>
  <c r="F59" i="48" s="1"/>
  <c r="F18" i="76"/>
  <c r="A1" i="76"/>
  <c r="AB13" i="78" l="1"/>
  <c r="AA13" i="78"/>
  <c r="Z17" i="78"/>
  <c r="Z22" i="78"/>
  <c r="AB23" i="78"/>
  <c r="AB22" i="78"/>
  <c r="AA23" i="78"/>
  <c r="AA22" i="78"/>
  <c r="AB18" i="78"/>
  <c r="AB17" i="78"/>
  <c r="AA17" i="78"/>
  <c r="AA18" i="78"/>
  <c r="I31" i="61"/>
  <c r="H31" i="61"/>
  <c r="G31" i="61"/>
  <c r="E31" i="61"/>
  <c r="D31" i="61"/>
  <c r="C31" i="61"/>
  <c r="J31" i="70"/>
  <c r="W19" i="70"/>
  <c r="G74" i="75"/>
  <c r="F71" i="75"/>
  <c r="F70" i="75"/>
  <c r="W73" i="75"/>
  <c r="V73" i="75"/>
  <c r="U73" i="75"/>
  <c r="T73" i="75"/>
  <c r="S73" i="75"/>
  <c r="R73" i="75"/>
  <c r="Q73" i="75"/>
  <c r="P73" i="75"/>
  <c r="O73" i="75"/>
  <c r="N73" i="75"/>
  <c r="M73" i="75"/>
  <c r="L73" i="75"/>
  <c r="K73" i="75"/>
  <c r="J73" i="75"/>
  <c r="I73" i="75"/>
  <c r="H73" i="75"/>
  <c r="G73" i="75"/>
  <c r="F73" i="75"/>
  <c r="E73" i="75"/>
  <c r="G72" i="75"/>
  <c r="G71" i="75"/>
  <c r="G70" i="75"/>
  <c r="F69" i="75"/>
  <c r="G69" i="75"/>
  <c r="W68" i="75"/>
  <c r="V68" i="75"/>
  <c r="U68" i="75"/>
  <c r="T68" i="75"/>
  <c r="S68" i="75"/>
  <c r="R68" i="75"/>
  <c r="Q68" i="75"/>
  <c r="P68" i="75"/>
  <c r="O68" i="75"/>
  <c r="N68" i="75"/>
  <c r="M68" i="75"/>
  <c r="L68" i="75"/>
  <c r="K68" i="75"/>
  <c r="J68" i="75"/>
  <c r="I68" i="75"/>
  <c r="E68" i="75"/>
  <c r="F31" i="61" l="1"/>
  <c r="M31" i="70"/>
  <c r="Q31" i="70"/>
  <c r="U31" i="70"/>
  <c r="N31" i="70"/>
  <c r="R31" i="70"/>
  <c r="V31" i="70"/>
  <c r="K31" i="70"/>
  <c r="O31" i="70"/>
  <c r="S31" i="70"/>
  <c r="W31" i="70"/>
  <c r="L31" i="70"/>
  <c r="P31" i="70"/>
  <c r="T31" i="70"/>
  <c r="L19" i="70"/>
  <c r="L31" i="61" s="1"/>
  <c r="P19" i="70"/>
  <c r="T19" i="70"/>
  <c r="M19" i="70"/>
  <c r="M31" i="61" s="1"/>
  <c r="U19" i="70"/>
  <c r="J19" i="70"/>
  <c r="J31" i="61" s="1"/>
  <c r="N19" i="70"/>
  <c r="N31" i="61" s="1"/>
  <c r="R19" i="70"/>
  <c r="V19" i="70"/>
  <c r="Q19" i="70"/>
  <c r="K19" i="70"/>
  <c r="K31" i="61" s="1"/>
  <c r="O19" i="70"/>
  <c r="O31" i="61" s="1"/>
  <c r="S19" i="70"/>
  <c r="G64" i="75"/>
  <c r="G68" i="75" s="1"/>
  <c r="I63" i="75"/>
  <c r="F63" i="75"/>
  <c r="E63" i="75"/>
  <c r="I34" i="75"/>
  <c r="F34" i="75"/>
  <c r="E34" i="75"/>
  <c r="I62" i="75"/>
  <c r="H62" i="75"/>
  <c r="G62" i="75"/>
  <c r="F62" i="75"/>
  <c r="E62" i="75"/>
  <c r="G35" i="75"/>
  <c r="G63" i="75" s="1"/>
  <c r="K33" i="75"/>
  <c r="J33" i="75"/>
  <c r="I33" i="75"/>
  <c r="G33" i="75"/>
  <c r="F33" i="75"/>
  <c r="E33" i="75"/>
  <c r="AC13" i="78"/>
  <c r="G29" i="75" l="1"/>
  <c r="G34" i="75" s="1"/>
  <c r="G27" i="75"/>
  <c r="I28" i="75"/>
  <c r="G28" i="75"/>
  <c r="F28" i="75"/>
  <c r="E28" i="75"/>
  <c r="I26" i="75"/>
  <c r="H26" i="75"/>
  <c r="G26" i="75"/>
  <c r="F26" i="75"/>
  <c r="E26" i="75"/>
  <c r="F25" i="75"/>
  <c r="G25" i="75"/>
  <c r="E25" i="75"/>
  <c r="K27" i="75"/>
  <c r="J27" i="75"/>
  <c r="I27" i="75"/>
  <c r="F27" i="75"/>
  <c r="E27" i="75"/>
  <c r="I19" i="75"/>
  <c r="F19" i="75"/>
  <c r="E19" i="75"/>
  <c r="I18" i="75"/>
  <c r="G18" i="75"/>
  <c r="F18" i="75"/>
  <c r="E18" i="75"/>
  <c r="I17" i="75"/>
  <c r="H17" i="75"/>
  <c r="G17" i="75"/>
  <c r="F17" i="75"/>
  <c r="E17" i="75"/>
  <c r="I57" i="75"/>
  <c r="G57" i="75"/>
  <c r="F57" i="75"/>
  <c r="E57" i="75"/>
  <c r="I56" i="75"/>
  <c r="H56" i="75"/>
  <c r="G56" i="75"/>
  <c r="F56" i="75"/>
  <c r="E56" i="75"/>
  <c r="I55" i="75"/>
  <c r="H55" i="75"/>
  <c r="G55" i="75"/>
  <c r="F55" i="75"/>
  <c r="E55" i="75"/>
  <c r="I50" i="75"/>
  <c r="H50" i="75"/>
  <c r="G50" i="75"/>
  <c r="F50" i="75"/>
  <c r="E50" i="75"/>
  <c r="I44" i="75"/>
  <c r="I20" i="75" s="1"/>
  <c r="G44" i="75"/>
  <c r="G20" i="75" s="1"/>
  <c r="F44" i="75"/>
  <c r="F20" i="75" s="1"/>
  <c r="E44" i="75"/>
  <c r="E20" i="75" s="1"/>
  <c r="I43" i="75"/>
  <c r="H43" i="75"/>
  <c r="G43" i="75"/>
  <c r="F43" i="75"/>
  <c r="E43" i="75"/>
  <c r="G49" i="75"/>
  <c r="F49" i="75"/>
  <c r="E49" i="75"/>
  <c r="G42" i="75"/>
  <c r="F42" i="75"/>
  <c r="E42" i="75"/>
  <c r="G13" i="75"/>
  <c r="G19" i="75" s="1"/>
  <c r="I12" i="75"/>
  <c r="G12" i="75"/>
  <c r="F12" i="75"/>
  <c r="E12" i="75"/>
  <c r="O11" i="75"/>
  <c r="N11" i="75"/>
  <c r="M11" i="75"/>
  <c r="L11" i="75"/>
  <c r="K11" i="75"/>
  <c r="J11" i="75"/>
  <c r="I11" i="75"/>
  <c r="G11" i="75"/>
  <c r="F11" i="75"/>
  <c r="E11" i="75"/>
  <c r="O10" i="75"/>
  <c r="N10" i="75"/>
  <c r="M10" i="75"/>
  <c r="L10" i="75"/>
  <c r="K10" i="75"/>
  <c r="J10" i="75"/>
  <c r="I10" i="75"/>
  <c r="G10" i="75"/>
  <c r="F10" i="75"/>
  <c r="E10" i="75"/>
  <c r="I9" i="75"/>
  <c r="F9" i="75"/>
  <c r="E9" i="75"/>
  <c r="E5" i="75"/>
  <c r="E4" i="75"/>
  <c r="E3" i="75"/>
  <c r="E2" i="75"/>
  <c r="A1" i="75"/>
  <c r="AD13" i="78"/>
  <c r="F72" i="74" l="1"/>
  <c r="G72" i="74"/>
  <c r="H72" i="74"/>
  <c r="I72" i="74"/>
  <c r="J72" i="74"/>
  <c r="K72" i="74"/>
  <c r="L72" i="74"/>
  <c r="M72" i="74"/>
  <c r="N72" i="74"/>
  <c r="O72" i="74"/>
  <c r="P72" i="74"/>
  <c r="Q72" i="74"/>
  <c r="R72" i="74"/>
  <c r="S72" i="74"/>
  <c r="T72" i="74"/>
  <c r="U72" i="74"/>
  <c r="V72" i="74"/>
  <c r="W72" i="74"/>
  <c r="E72" i="74"/>
  <c r="F45" i="74"/>
  <c r="G45" i="74"/>
  <c r="H45" i="74"/>
  <c r="I45" i="74"/>
  <c r="J45" i="74"/>
  <c r="K45" i="74"/>
  <c r="L45" i="74"/>
  <c r="M45" i="74"/>
  <c r="N45" i="74"/>
  <c r="O45" i="74"/>
  <c r="P45" i="74"/>
  <c r="Q45" i="74"/>
  <c r="R45" i="74"/>
  <c r="S45" i="74"/>
  <c r="T45" i="74"/>
  <c r="U45" i="74"/>
  <c r="V45" i="74"/>
  <c r="W45" i="74"/>
  <c r="E45" i="74"/>
  <c r="F18" i="74"/>
  <c r="G18" i="74"/>
  <c r="H18" i="74"/>
  <c r="I18" i="74"/>
  <c r="J18" i="74"/>
  <c r="K18" i="74"/>
  <c r="L18" i="74"/>
  <c r="M18" i="74"/>
  <c r="N18" i="74"/>
  <c r="O18" i="74"/>
  <c r="P18" i="74"/>
  <c r="Q18" i="74"/>
  <c r="R18" i="74"/>
  <c r="S18" i="74"/>
  <c r="T18" i="74"/>
  <c r="U18" i="74"/>
  <c r="V18" i="74"/>
  <c r="W18" i="74"/>
  <c r="E18" i="74"/>
  <c r="G35" i="73"/>
  <c r="H35" i="73"/>
  <c r="I35" i="73"/>
  <c r="J35" i="73"/>
  <c r="K35" i="73"/>
  <c r="L35" i="73"/>
  <c r="M35" i="73"/>
  <c r="N35" i="73"/>
  <c r="O35" i="73"/>
  <c r="P35" i="73"/>
  <c r="Q35" i="73"/>
  <c r="R35" i="73"/>
  <c r="S35" i="73"/>
  <c r="T35" i="73"/>
  <c r="U35" i="73"/>
  <c r="E35" i="73"/>
  <c r="F46" i="70"/>
  <c r="F35" i="73" s="1"/>
  <c r="G17" i="73"/>
  <c r="H17" i="73"/>
  <c r="I17" i="73"/>
  <c r="J17" i="73"/>
  <c r="K17" i="73"/>
  <c r="L17" i="73"/>
  <c r="M17" i="73"/>
  <c r="N17" i="73"/>
  <c r="O17" i="73"/>
  <c r="P17" i="73"/>
  <c r="Q17" i="73"/>
  <c r="R17" i="73"/>
  <c r="S17" i="73"/>
  <c r="T17" i="73"/>
  <c r="U17" i="73"/>
  <c r="E17" i="73"/>
  <c r="F45" i="70"/>
  <c r="F17" i="73" s="1"/>
  <c r="F36" i="72"/>
  <c r="G36" i="72"/>
  <c r="H36" i="72"/>
  <c r="I36" i="72"/>
  <c r="J36" i="72"/>
  <c r="K36" i="72"/>
  <c r="L36" i="72"/>
  <c r="M36" i="72"/>
  <c r="N36" i="72"/>
  <c r="O36" i="72"/>
  <c r="P36" i="72"/>
  <c r="Q36" i="72"/>
  <c r="R36" i="72"/>
  <c r="S36" i="72"/>
  <c r="T36" i="72"/>
  <c r="U36" i="72"/>
  <c r="E36" i="72"/>
  <c r="F17" i="72"/>
  <c r="G17" i="72"/>
  <c r="H17" i="72"/>
  <c r="I17" i="72"/>
  <c r="J17" i="72"/>
  <c r="K17" i="72"/>
  <c r="L17" i="72"/>
  <c r="M17" i="72"/>
  <c r="N17" i="72"/>
  <c r="O17" i="72"/>
  <c r="P17" i="72"/>
  <c r="Q17" i="72"/>
  <c r="R17" i="72"/>
  <c r="S17" i="72"/>
  <c r="T17" i="72"/>
  <c r="U17" i="72"/>
  <c r="E17" i="72"/>
  <c r="F55" i="63"/>
  <c r="G55" i="63"/>
  <c r="H55" i="63"/>
  <c r="I55" i="63"/>
  <c r="J55" i="63"/>
  <c r="K55" i="63"/>
  <c r="L55" i="63"/>
  <c r="M55" i="63"/>
  <c r="N55" i="63"/>
  <c r="O55" i="63"/>
  <c r="P55" i="63"/>
  <c r="Q55" i="63"/>
  <c r="R55" i="63"/>
  <c r="S55" i="63"/>
  <c r="T55" i="63"/>
  <c r="U55" i="63"/>
  <c r="E55" i="63"/>
  <c r="F36" i="63"/>
  <c r="G36" i="63"/>
  <c r="H36" i="63"/>
  <c r="I36" i="63"/>
  <c r="J36" i="63"/>
  <c r="K36" i="63"/>
  <c r="L36" i="63"/>
  <c r="M36" i="63"/>
  <c r="N36" i="63"/>
  <c r="O36" i="63"/>
  <c r="P36" i="63"/>
  <c r="Q36" i="63"/>
  <c r="R36" i="63"/>
  <c r="S36" i="63"/>
  <c r="T36" i="63"/>
  <c r="U36" i="63"/>
  <c r="E36" i="63"/>
  <c r="H17" i="63"/>
  <c r="J17" i="63"/>
  <c r="K17" i="63"/>
  <c r="L17" i="63"/>
  <c r="M17" i="63"/>
  <c r="N17" i="63"/>
  <c r="O17" i="63"/>
  <c r="P17" i="63"/>
  <c r="Q17" i="63"/>
  <c r="R17" i="63"/>
  <c r="S17" i="63"/>
  <c r="T17" i="63"/>
  <c r="U17" i="63"/>
  <c r="G17" i="63"/>
  <c r="F17" i="63"/>
  <c r="E17" i="63"/>
  <c r="U59" i="61"/>
  <c r="T59" i="61"/>
  <c r="S59" i="61"/>
  <c r="R59" i="61"/>
  <c r="Q59" i="61"/>
  <c r="P59" i="61"/>
  <c r="O59" i="61"/>
  <c r="N59" i="61"/>
  <c r="M59" i="61"/>
  <c r="L59" i="61"/>
  <c r="K59" i="61"/>
  <c r="J59" i="61"/>
  <c r="H59" i="61"/>
  <c r="G59" i="61"/>
  <c r="F59" i="61"/>
  <c r="E59" i="61"/>
  <c r="U31" i="61"/>
  <c r="T31" i="61"/>
  <c r="S31" i="61"/>
  <c r="R31" i="61"/>
  <c r="Q31" i="61"/>
  <c r="P31" i="61"/>
  <c r="H16" i="61"/>
  <c r="G16" i="61"/>
  <c r="W67" i="71"/>
  <c r="V67" i="71"/>
  <c r="U67" i="71"/>
  <c r="T67" i="71"/>
  <c r="S67" i="71"/>
  <c r="R67" i="71"/>
  <c r="Q67" i="71"/>
  <c r="P67" i="71"/>
  <c r="O67" i="71"/>
  <c r="N67" i="71"/>
  <c r="M67" i="71"/>
  <c r="L67" i="71"/>
  <c r="K67" i="71"/>
  <c r="J67" i="71"/>
  <c r="I67" i="71"/>
  <c r="F67" i="71"/>
  <c r="E67" i="71"/>
  <c r="AE13" i="78"/>
  <c r="AC18" i="78" l="1"/>
  <c r="AC17" i="78"/>
  <c r="J29" i="57"/>
  <c r="O88" i="66"/>
  <c r="N88" i="66"/>
  <c r="M88" i="66"/>
  <c r="L88" i="66"/>
  <c r="K88" i="66"/>
  <c r="J88" i="66"/>
  <c r="H96" i="66"/>
  <c r="H87" i="66"/>
  <c r="H81" i="66"/>
  <c r="AD18" i="78" l="1"/>
  <c r="AD17" i="78"/>
  <c r="G93" i="74"/>
  <c r="I92" i="74"/>
  <c r="F92" i="74"/>
  <c r="I91" i="74"/>
  <c r="F91" i="74"/>
  <c r="I90" i="74"/>
  <c r="F90" i="74"/>
  <c r="AE18" i="78" l="1"/>
  <c r="AE17" i="78"/>
  <c r="O83" i="74"/>
  <c r="O84" i="74" s="1"/>
  <c r="N83" i="74"/>
  <c r="N84" i="74" s="1"/>
  <c r="M83" i="74"/>
  <c r="M84" i="74" s="1"/>
  <c r="L83" i="74"/>
  <c r="L84" i="74" s="1"/>
  <c r="K83" i="74"/>
  <c r="K84" i="74" s="1"/>
  <c r="J83" i="74"/>
  <c r="J84" i="74" s="1"/>
  <c r="I83" i="74"/>
  <c r="H83" i="74"/>
  <c r="G83" i="74"/>
  <c r="F83" i="74"/>
  <c r="E83" i="74"/>
  <c r="W78" i="74"/>
  <c r="V78" i="74"/>
  <c r="U78" i="74"/>
  <c r="T78" i="74"/>
  <c r="S78" i="74"/>
  <c r="R78" i="74"/>
  <c r="Q78" i="74"/>
  <c r="P78" i="74"/>
  <c r="O66" i="74"/>
  <c r="N66" i="74"/>
  <c r="M66" i="74"/>
  <c r="L66" i="74"/>
  <c r="K66" i="74"/>
  <c r="J66" i="74"/>
  <c r="I66" i="74"/>
  <c r="H66" i="74"/>
  <c r="G66" i="74"/>
  <c r="F66" i="74"/>
  <c r="E66" i="74"/>
  <c r="G86" i="74"/>
  <c r="G90" i="74" s="1"/>
  <c r="E86" i="74"/>
  <c r="E90" i="74" s="1"/>
  <c r="I85" i="74"/>
  <c r="G85" i="74"/>
  <c r="F85" i="74"/>
  <c r="E85" i="74"/>
  <c r="G84" i="74"/>
  <c r="G79" i="74"/>
  <c r="O78" i="74"/>
  <c r="N78" i="74"/>
  <c r="M78" i="74"/>
  <c r="L78" i="74"/>
  <c r="K78" i="74"/>
  <c r="J78" i="74"/>
  <c r="I78" i="74"/>
  <c r="H78" i="74"/>
  <c r="G78" i="74"/>
  <c r="F78" i="74"/>
  <c r="E78" i="74"/>
  <c r="I77" i="74"/>
  <c r="F77" i="74"/>
  <c r="G76" i="74"/>
  <c r="F76" i="74"/>
  <c r="E76" i="74"/>
  <c r="O67" i="74"/>
  <c r="N67" i="74"/>
  <c r="M67" i="74"/>
  <c r="M68" i="74" s="1"/>
  <c r="L67" i="74"/>
  <c r="K67" i="74"/>
  <c r="J67" i="74"/>
  <c r="I67" i="74"/>
  <c r="G67" i="74"/>
  <c r="F67" i="74"/>
  <c r="E67" i="74"/>
  <c r="G65" i="74"/>
  <c r="F65" i="74"/>
  <c r="E65" i="74"/>
  <c r="O56" i="74"/>
  <c r="N56" i="74"/>
  <c r="O57" i="74" s="1"/>
  <c r="M56" i="74"/>
  <c r="L56" i="74"/>
  <c r="K56" i="74"/>
  <c r="L57" i="74" s="1"/>
  <c r="J56" i="74"/>
  <c r="K57" i="74" s="1"/>
  <c r="I56" i="74"/>
  <c r="J57" i="74" s="1"/>
  <c r="H56" i="74"/>
  <c r="G56" i="74"/>
  <c r="F56" i="74"/>
  <c r="E56" i="74"/>
  <c r="W51" i="74"/>
  <c r="V51" i="74"/>
  <c r="U51" i="74"/>
  <c r="T51" i="74"/>
  <c r="S51" i="74"/>
  <c r="R51" i="74"/>
  <c r="Q51" i="74"/>
  <c r="P51" i="74"/>
  <c r="O51" i="74"/>
  <c r="N51" i="74"/>
  <c r="M51" i="74"/>
  <c r="L51" i="74"/>
  <c r="K51" i="74"/>
  <c r="J51" i="74"/>
  <c r="I51" i="74"/>
  <c r="H51" i="74"/>
  <c r="G51" i="74"/>
  <c r="F51" i="74"/>
  <c r="E51" i="74"/>
  <c r="I40" i="74"/>
  <c r="G40" i="74"/>
  <c r="F40" i="74"/>
  <c r="E40" i="74"/>
  <c r="O39" i="74"/>
  <c r="N39" i="74"/>
  <c r="M39" i="74"/>
  <c r="L39" i="74"/>
  <c r="K39" i="74"/>
  <c r="J39" i="74"/>
  <c r="I39" i="74"/>
  <c r="H39" i="74"/>
  <c r="G39" i="74"/>
  <c r="F39" i="74"/>
  <c r="E39" i="74"/>
  <c r="G59" i="74"/>
  <c r="G91" i="74" s="1"/>
  <c r="E59" i="74"/>
  <c r="E91" i="74" s="1"/>
  <c r="I58" i="74"/>
  <c r="G58" i="74"/>
  <c r="F58" i="74"/>
  <c r="E58" i="74"/>
  <c r="G57" i="74"/>
  <c r="N57" i="74"/>
  <c r="M57" i="74"/>
  <c r="G52" i="74"/>
  <c r="G49" i="74"/>
  <c r="F49" i="74"/>
  <c r="E49" i="74"/>
  <c r="G38" i="74"/>
  <c r="F38" i="74"/>
  <c r="E38" i="74"/>
  <c r="G32" i="74"/>
  <c r="G92" i="74" s="1"/>
  <c r="E32" i="74"/>
  <c r="E92" i="74" s="1"/>
  <c r="I31" i="74"/>
  <c r="G31" i="74"/>
  <c r="F31" i="74"/>
  <c r="E31" i="74"/>
  <c r="G30" i="74"/>
  <c r="O29" i="74"/>
  <c r="N29" i="74"/>
  <c r="O30" i="74" s="1"/>
  <c r="M29" i="74"/>
  <c r="N30" i="74" s="1"/>
  <c r="L29" i="74"/>
  <c r="M30" i="74" s="1"/>
  <c r="K29" i="74"/>
  <c r="L30" i="74" s="1"/>
  <c r="J29" i="74"/>
  <c r="K30" i="74" s="1"/>
  <c r="I29" i="74"/>
  <c r="J30" i="74" s="1"/>
  <c r="H29" i="74"/>
  <c r="G29" i="74"/>
  <c r="F29" i="74"/>
  <c r="E29" i="74"/>
  <c r="G25" i="74"/>
  <c r="W24" i="74"/>
  <c r="V24" i="74"/>
  <c r="U24" i="74"/>
  <c r="T24" i="74"/>
  <c r="S24" i="74"/>
  <c r="R24" i="74"/>
  <c r="Q24" i="74"/>
  <c r="P24" i="74"/>
  <c r="O24" i="74"/>
  <c r="N24" i="74"/>
  <c r="M24" i="74"/>
  <c r="L24" i="74"/>
  <c r="K24" i="74"/>
  <c r="J24" i="74"/>
  <c r="I24" i="74"/>
  <c r="H24" i="74"/>
  <c r="G24" i="74"/>
  <c r="F24" i="74"/>
  <c r="E24" i="74"/>
  <c r="I23" i="74"/>
  <c r="F23" i="74"/>
  <c r="G22" i="74"/>
  <c r="F22" i="74"/>
  <c r="E22" i="74"/>
  <c r="O13" i="74"/>
  <c r="O14" i="74" s="1"/>
  <c r="N13" i="74"/>
  <c r="N14" i="74" s="1"/>
  <c r="M13" i="74"/>
  <c r="M14" i="74" s="1"/>
  <c r="L13" i="74"/>
  <c r="L14" i="74" s="1"/>
  <c r="K13" i="74"/>
  <c r="K14" i="74" s="1"/>
  <c r="J13" i="74"/>
  <c r="J14" i="74" s="1"/>
  <c r="I13" i="74"/>
  <c r="G13" i="74"/>
  <c r="F13" i="74"/>
  <c r="E13" i="74"/>
  <c r="O12" i="74"/>
  <c r="N12" i="74"/>
  <c r="M12" i="74"/>
  <c r="L12" i="74"/>
  <c r="K12" i="74"/>
  <c r="J12" i="74"/>
  <c r="I12" i="74"/>
  <c r="H12" i="74"/>
  <c r="G12" i="74"/>
  <c r="F12" i="74"/>
  <c r="E12" i="74"/>
  <c r="G11" i="74"/>
  <c r="F11" i="74"/>
  <c r="E11" i="74"/>
  <c r="E5" i="74"/>
  <c r="E4" i="74"/>
  <c r="E3" i="74"/>
  <c r="E2" i="74"/>
  <c r="A1" i="74"/>
  <c r="I74" i="73"/>
  <c r="G74" i="73"/>
  <c r="F74" i="73"/>
  <c r="E74" i="73"/>
  <c r="I73" i="73"/>
  <c r="G73" i="73"/>
  <c r="F73" i="73"/>
  <c r="E73" i="73"/>
  <c r="G54" i="48"/>
  <c r="G69" i="73" s="1"/>
  <c r="F69" i="73"/>
  <c r="E69" i="73"/>
  <c r="G77" i="73"/>
  <c r="E77" i="73"/>
  <c r="I76" i="73"/>
  <c r="G76" i="73"/>
  <c r="F76" i="73"/>
  <c r="E76" i="73"/>
  <c r="G75" i="73"/>
  <c r="J72" i="73"/>
  <c r="G72" i="73"/>
  <c r="I70" i="73"/>
  <c r="G70" i="73"/>
  <c r="F70" i="73"/>
  <c r="E70" i="73"/>
  <c r="G65" i="73"/>
  <c r="E65" i="73"/>
  <c r="I64" i="73"/>
  <c r="G64" i="73"/>
  <c r="F64" i="73"/>
  <c r="E64" i="73"/>
  <c r="G63" i="73"/>
  <c r="G60" i="73"/>
  <c r="F57" i="73"/>
  <c r="E57" i="73"/>
  <c r="G53" i="48"/>
  <c r="G57" i="73" s="1"/>
  <c r="J60" i="73"/>
  <c r="I58" i="73"/>
  <c r="G58" i="73"/>
  <c r="F58" i="73"/>
  <c r="E58" i="73"/>
  <c r="E53" i="73"/>
  <c r="I51" i="73"/>
  <c r="G51" i="73"/>
  <c r="F51" i="73"/>
  <c r="E51" i="73"/>
  <c r="G52" i="73"/>
  <c r="G53" i="73" s="1"/>
  <c r="O50" i="73"/>
  <c r="N50" i="73"/>
  <c r="M50" i="73"/>
  <c r="L50" i="73"/>
  <c r="K50" i="73"/>
  <c r="J50" i="73"/>
  <c r="I50" i="73"/>
  <c r="G50" i="73"/>
  <c r="F50" i="73"/>
  <c r="E50" i="73"/>
  <c r="O49" i="73"/>
  <c r="N49" i="73"/>
  <c r="M49" i="73"/>
  <c r="L49" i="73"/>
  <c r="K49" i="73"/>
  <c r="J49" i="73"/>
  <c r="I49" i="73"/>
  <c r="G49" i="73"/>
  <c r="F49" i="73"/>
  <c r="E49" i="73"/>
  <c r="G46" i="73"/>
  <c r="I45" i="73"/>
  <c r="F45" i="73"/>
  <c r="E45" i="73"/>
  <c r="I44" i="73"/>
  <c r="F44" i="73"/>
  <c r="E44" i="73"/>
  <c r="I40" i="73"/>
  <c r="F40" i="73"/>
  <c r="E40" i="73"/>
  <c r="O29" i="73"/>
  <c r="N29" i="73"/>
  <c r="M29" i="73"/>
  <c r="L29" i="73"/>
  <c r="K29" i="73"/>
  <c r="J29" i="73"/>
  <c r="I29" i="73"/>
  <c r="G29" i="73"/>
  <c r="F29" i="73"/>
  <c r="E29" i="73"/>
  <c r="I30" i="73"/>
  <c r="G30" i="73"/>
  <c r="F30" i="73"/>
  <c r="E30" i="73"/>
  <c r="G41" i="73"/>
  <c r="G45" i="73" s="1"/>
  <c r="W39" i="73"/>
  <c r="V39" i="73"/>
  <c r="U39" i="73"/>
  <c r="T39" i="73"/>
  <c r="S39" i="73"/>
  <c r="R39" i="73"/>
  <c r="Q39" i="73"/>
  <c r="P39" i="73"/>
  <c r="O39" i="73"/>
  <c r="N39" i="73"/>
  <c r="M39" i="73"/>
  <c r="L39" i="73"/>
  <c r="K39" i="73"/>
  <c r="J39" i="73"/>
  <c r="I39" i="73"/>
  <c r="H39" i="73"/>
  <c r="G39" i="73"/>
  <c r="E39" i="73"/>
  <c r="F21" i="73"/>
  <c r="I22" i="73"/>
  <c r="G22" i="73"/>
  <c r="F22" i="73"/>
  <c r="E22" i="73"/>
  <c r="W21" i="73"/>
  <c r="V21" i="73"/>
  <c r="U21" i="73"/>
  <c r="T21" i="73"/>
  <c r="S21" i="73"/>
  <c r="R21" i="73"/>
  <c r="Q21" i="73"/>
  <c r="P21" i="73"/>
  <c r="O21" i="73"/>
  <c r="N21" i="73"/>
  <c r="M21" i="73"/>
  <c r="L21" i="73"/>
  <c r="K21" i="73"/>
  <c r="J21" i="73"/>
  <c r="I21" i="73"/>
  <c r="H21" i="73"/>
  <c r="G21" i="73"/>
  <c r="E21" i="73"/>
  <c r="I12" i="73"/>
  <c r="G12" i="73"/>
  <c r="F12" i="73"/>
  <c r="E12" i="73"/>
  <c r="I11" i="73"/>
  <c r="G11" i="73"/>
  <c r="F11" i="73"/>
  <c r="E11" i="73"/>
  <c r="G23" i="73"/>
  <c r="G44" i="73" s="1"/>
  <c r="E5" i="73"/>
  <c r="E4" i="73"/>
  <c r="E3" i="73"/>
  <c r="E2" i="73"/>
  <c r="A1" i="73"/>
  <c r="G55" i="72"/>
  <c r="E55" i="72"/>
  <c r="I54" i="72"/>
  <c r="G54" i="72"/>
  <c r="F54" i="72"/>
  <c r="E54" i="72"/>
  <c r="I52" i="72"/>
  <c r="F52" i="72"/>
  <c r="E52" i="72"/>
  <c r="I51" i="72"/>
  <c r="F51" i="72"/>
  <c r="E51" i="72"/>
  <c r="G50" i="72"/>
  <c r="F47" i="72"/>
  <c r="E47" i="72"/>
  <c r="G49" i="48"/>
  <c r="G47" i="72" s="1"/>
  <c r="J50" i="72"/>
  <c r="I48" i="72"/>
  <c r="G48" i="72"/>
  <c r="F48" i="72"/>
  <c r="E48" i="72"/>
  <c r="O68" i="74" l="1"/>
  <c r="F39" i="73"/>
  <c r="J68" i="74"/>
  <c r="K68" i="74"/>
  <c r="L68" i="74"/>
  <c r="N68" i="74"/>
  <c r="G40" i="73"/>
  <c r="W40" i="72"/>
  <c r="V40" i="72"/>
  <c r="U40" i="72"/>
  <c r="T40" i="72"/>
  <c r="S40" i="72"/>
  <c r="R40" i="72"/>
  <c r="Q40" i="72"/>
  <c r="P40" i="72"/>
  <c r="O40" i="72"/>
  <c r="N40" i="72"/>
  <c r="M40" i="72"/>
  <c r="L40" i="72"/>
  <c r="K40" i="72"/>
  <c r="J40" i="72"/>
  <c r="I40" i="72"/>
  <c r="H40" i="72"/>
  <c r="G40" i="72"/>
  <c r="F40" i="72"/>
  <c r="E40" i="72"/>
  <c r="O31" i="72"/>
  <c r="N31" i="72"/>
  <c r="M31" i="72"/>
  <c r="L31" i="72"/>
  <c r="K31" i="72"/>
  <c r="J31" i="72"/>
  <c r="I31" i="72"/>
  <c r="G31" i="72"/>
  <c r="F31" i="72"/>
  <c r="E31" i="72"/>
  <c r="CA43" i="72"/>
  <c r="BZ43" i="72"/>
  <c r="BY43" i="72"/>
  <c r="BX43" i="72"/>
  <c r="BW43" i="72"/>
  <c r="BV43" i="72"/>
  <c r="BU43" i="72"/>
  <c r="BT43" i="72"/>
  <c r="BS43" i="72"/>
  <c r="BR43" i="72"/>
  <c r="BQ43" i="72"/>
  <c r="BP43" i="72"/>
  <c r="BO43" i="72"/>
  <c r="BN43" i="72"/>
  <c r="BM43" i="72"/>
  <c r="BL43" i="72"/>
  <c r="BK43" i="72"/>
  <c r="BJ43" i="72"/>
  <c r="BI43" i="72"/>
  <c r="BH43" i="72"/>
  <c r="BG43" i="72"/>
  <c r="BF43" i="72"/>
  <c r="BE43" i="72"/>
  <c r="BD43" i="72"/>
  <c r="BC43" i="72"/>
  <c r="BB43" i="72"/>
  <c r="BA43" i="72"/>
  <c r="AZ43" i="72"/>
  <c r="AY43" i="72"/>
  <c r="AX43" i="72"/>
  <c r="AW43" i="72"/>
  <c r="AV43" i="72"/>
  <c r="AU43" i="72"/>
  <c r="AT43" i="72"/>
  <c r="AS43" i="72"/>
  <c r="AR43" i="72"/>
  <c r="AQ43" i="72"/>
  <c r="AP43" i="72"/>
  <c r="AO43" i="72"/>
  <c r="AN43" i="72"/>
  <c r="AM43" i="72"/>
  <c r="AL43" i="72"/>
  <c r="AK43" i="72"/>
  <c r="AJ43" i="72"/>
  <c r="AI43" i="72"/>
  <c r="AH43" i="72"/>
  <c r="AG43" i="72"/>
  <c r="AF43" i="72"/>
  <c r="AE43" i="72"/>
  <c r="AD43" i="72"/>
  <c r="AC43" i="72"/>
  <c r="AB43" i="72"/>
  <c r="AA43" i="72"/>
  <c r="Z43" i="72"/>
  <c r="Y43" i="72"/>
  <c r="X43" i="72"/>
  <c r="E43" i="72"/>
  <c r="G42" i="72"/>
  <c r="I41" i="72"/>
  <c r="G41" i="72"/>
  <c r="F41" i="72"/>
  <c r="E41" i="72"/>
  <c r="I30" i="72"/>
  <c r="G30" i="72"/>
  <c r="F30" i="72"/>
  <c r="E30" i="72"/>
  <c r="I22" i="72"/>
  <c r="G22" i="72"/>
  <c r="F22" i="72"/>
  <c r="E22" i="72"/>
  <c r="E21" i="72"/>
  <c r="W12" i="72"/>
  <c r="V12" i="72"/>
  <c r="U12" i="72"/>
  <c r="T12" i="72"/>
  <c r="S12" i="72"/>
  <c r="R12" i="72"/>
  <c r="Q12" i="72"/>
  <c r="P12" i="72"/>
  <c r="O12" i="72"/>
  <c r="N12" i="72"/>
  <c r="M12" i="72"/>
  <c r="L12" i="72"/>
  <c r="K12" i="72"/>
  <c r="J12" i="72"/>
  <c r="I12" i="72"/>
  <c r="G12" i="72"/>
  <c r="F12" i="72"/>
  <c r="E12" i="72"/>
  <c r="I11" i="72"/>
  <c r="G11" i="72"/>
  <c r="F11" i="72"/>
  <c r="E11" i="72"/>
  <c r="CA24" i="72"/>
  <c r="BZ24" i="72"/>
  <c r="BY24" i="72"/>
  <c r="BX24" i="72"/>
  <c r="BW24" i="72"/>
  <c r="BV24" i="72"/>
  <c r="BU24" i="72"/>
  <c r="BT24" i="72"/>
  <c r="BS24" i="72"/>
  <c r="BR24" i="72"/>
  <c r="BQ24" i="72"/>
  <c r="BP24" i="72"/>
  <c r="BO24" i="72"/>
  <c r="BN24" i="72"/>
  <c r="BM24" i="72"/>
  <c r="BL24" i="72"/>
  <c r="BK24" i="72"/>
  <c r="BJ24" i="72"/>
  <c r="BI24" i="72"/>
  <c r="BH24" i="72"/>
  <c r="BG24" i="72"/>
  <c r="BF24" i="72"/>
  <c r="BE24" i="72"/>
  <c r="BD24" i="72"/>
  <c r="BC24" i="72"/>
  <c r="BB24" i="72"/>
  <c r="BA24" i="72"/>
  <c r="AZ24" i="72"/>
  <c r="AY24" i="72"/>
  <c r="AX24" i="72"/>
  <c r="AW24" i="72"/>
  <c r="AV24" i="72"/>
  <c r="AU24" i="72"/>
  <c r="AT24" i="72"/>
  <c r="AS24" i="72"/>
  <c r="AR24" i="72"/>
  <c r="AQ24" i="72"/>
  <c r="AP24" i="72"/>
  <c r="AO24" i="72"/>
  <c r="AN24" i="72"/>
  <c r="AM24" i="72"/>
  <c r="AL24" i="72"/>
  <c r="AK24" i="72"/>
  <c r="AJ24" i="72"/>
  <c r="AI24" i="72"/>
  <c r="AH24" i="72"/>
  <c r="AG24" i="72"/>
  <c r="AF24" i="72"/>
  <c r="AE24" i="72"/>
  <c r="AD24" i="72"/>
  <c r="AC24" i="72"/>
  <c r="AB24" i="72"/>
  <c r="AA24" i="72"/>
  <c r="Z24" i="72"/>
  <c r="Y24" i="72"/>
  <c r="X24" i="72"/>
  <c r="E24" i="72"/>
  <c r="G23" i="72"/>
  <c r="W21" i="72"/>
  <c r="V21" i="72"/>
  <c r="U21" i="72"/>
  <c r="T21" i="72"/>
  <c r="S21" i="72"/>
  <c r="R21" i="72"/>
  <c r="Q21" i="72"/>
  <c r="P21" i="72"/>
  <c r="O21" i="72"/>
  <c r="N21" i="72"/>
  <c r="M21" i="72"/>
  <c r="L21" i="72"/>
  <c r="K21" i="72"/>
  <c r="J21" i="72"/>
  <c r="I21" i="72"/>
  <c r="H21" i="72"/>
  <c r="G21" i="72"/>
  <c r="F21" i="72"/>
  <c r="E5" i="72"/>
  <c r="E4" i="72"/>
  <c r="E3" i="72"/>
  <c r="E2" i="72"/>
  <c r="A1" i="72"/>
  <c r="G75" i="71"/>
  <c r="E75" i="71"/>
  <c r="I74" i="71"/>
  <c r="G74" i="71"/>
  <c r="F74" i="71"/>
  <c r="E74" i="71"/>
  <c r="G73" i="71"/>
  <c r="I72" i="71"/>
  <c r="F72" i="71"/>
  <c r="I71" i="71"/>
  <c r="F71" i="71"/>
  <c r="G68" i="71"/>
  <c r="I66" i="71"/>
  <c r="F66" i="71"/>
  <c r="E66" i="71"/>
  <c r="I65" i="71"/>
  <c r="F65" i="71"/>
  <c r="G62" i="71"/>
  <c r="E62" i="71"/>
  <c r="I61" i="71"/>
  <c r="G61" i="71"/>
  <c r="F61" i="71"/>
  <c r="E61" i="71"/>
  <c r="G60" i="71"/>
  <c r="H59" i="71"/>
  <c r="G59" i="71"/>
  <c r="F59" i="71"/>
  <c r="E59" i="71"/>
  <c r="H58" i="71"/>
  <c r="F58" i="71"/>
  <c r="E58" i="71"/>
  <c r="I37" i="71"/>
  <c r="F37" i="71"/>
  <c r="E37" i="71"/>
  <c r="E14" i="71"/>
  <c r="E52" i="71"/>
  <c r="E72" i="71" s="1"/>
  <c r="G51" i="71"/>
  <c r="G52" i="71" s="1"/>
  <c r="G72" i="71" s="1"/>
  <c r="I50" i="71"/>
  <c r="F50" i="71"/>
  <c r="E50" i="71"/>
  <c r="H49" i="71"/>
  <c r="G49" i="71"/>
  <c r="F49" i="71"/>
  <c r="E49" i="71"/>
  <c r="E45" i="71"/>
  <c r="G44" i="71"/>
  <c r="G37" i="71" s="1"/>
  <c r="W42" i="71"/>
  <c r="V42" i="71"/>
  <c r="U42" i="71"/>
  <c r="T42" i="71"/>
  <c r="S42" i="71"/>
  <c r="R42" i="71"/>
  <c r="Q42" i="71"/>
  <c r="P42" i="71"/>
  <c r="O42" i="71"/>
  <c r="N42" i="71"/>
  <c r="M42" i="71"/>
  <c r="L42" i="71"/>
  <c r="K42" i="71"/>
  <c r="J42" i="71"/>
  <c r="I42" i="71"/>
  <c r="H42" i="71"/>
  <c r="F42" i="71"/>
  <c r="E42" i="71"/>
  <c r="G44" i="48"/>
  <c r="G42" i="71" s="1"/>
  <c r="W43" i="71"/>
  <c r="V43" i="71"/>
  <c r="U43" i="71"/>
  <c r="T43" i="71"/>
  <c r="S43" i="71"/>
  <c r="R43" i="71"/>
  <c r="Q43" i="71"/>
  <c r="P43" i="71"/>
  <c r="O43" i="71"/>
  <c r="N43" i="71"/>
  <c r="M43" i="71"/>
  <c r="L43" i="71"/>
  <c r="K43" i="71"/>
  <c r="J43" i="71"/>
  <c r="I43" i="71"/>
  <c r="G43" i="71"/>
  <c r="F43" i="71"/>
  <c r="E43" i="71"/>
  <c r="H67" i="70"/>
  <c r="H43" i="71" s="1"/>
  <c r="W36" i="71"/>
  <c r="V36" i="71"/>
  <c r="U36" i="71"/>
  <c r="T36" i="71"/>
  <c r="S36" i="71"/>
  <c r="R36" i="71"/>
  <c r="Q36" i="71"/>
  <c r="P36" i="71"/>
  <c r="O36" i="71"/>
  <c r="N36" i="71"/>
  <c r="M36" i="71"/>
  <c r="L36" i="71"/>
  <c r="K36" i="71"/>
  <c r="J36" i="71"/>
  <c r="I36" i="71"/>
  <c r="F36" i="71"/>
  <c r="E36" i="71"/>
  <c r="H66" i="70"/>
  <c r="G66" i="70"/>
  <c r="W59" i="70"/>
  <c r="V59" i="70"/>
  <c r="U59" i="70"/>
  <c r="T59" i="70"/>
  <c r="S59" i="70"/>
  <c r="R59" i="70"/>
  <c r="Q59" i="70"/>
  <c r="P59" i="70"/>
  <c r="O59" i="70"/>
  <c r="N59" i="70"/>
  <c r="M59" i="70"/>
  <c r="L59" i="70"/>
  <c r="K59" i="70"/>
  <c r="J59" i="70"/>
  <c r="G59" i="70"/>
  <c r="G35" i="71"/>
  <c r="G50" i="71" s="1"/>
  <c r="G43" i="48"/>
  <c r="G32" i="71"/>
  <c r="F32" i="71"/>
  <c r="E32" i="71"/>
  <c r="J35" i="71"/>
  <c r="J50" i="71" s="1"/>
  <c r="I33" i="71"/>
  <c r="G33" i="71"/>
  <c r="F33" i="71"/>
  <c r="E33" i="71"/>
  <c r="I10" i="71"/>
  <c r="E28" i="71"/>
  <c r="E71" i="71" s="1"/>
  <c r="G27" i="71"/>
  <c r="G28" i="71" s="1"/>
  <c r="G71" i="71" s="1"/>
  <c r="H25" i="71"/>
  <c r="G25" i="71"/>
  <c r="F25" i="71"/>
  <c r="E25" i="71"/>
  <c r="F26" i="71"/>
  <c r="E26" i="71"/>
  <c r="G14" i="71"/>
  <c r="F14" i="71"/>
  <c r="G22" i="71"/>
  <c r="G65" i="71" s="1"/>
  <c r="E22" i="71"/>
  <c r="E65" i="71" s="1"/>
  <c r="W19" i="71"/>
  <c r="V19" i="71"/>
  <c r="U19" i="71"/>
  <c r="T19" i="71"/>
  <c r="S19" i="71"/>
  <c r="R19" i="71"/>
  <c r="Q19" i="71"/>
  <c r="P19" i="71"/>
  <c r="O19" i="71"/>
  <c r="N19" i="71"/>
  <c r="M19" i="71"/>
  <c r="L19" i="71"/>
  <c r="K19" i="71"/>
  <c r="J19" i="71"/>
  <c r="H19" i="71"/>
  <c r="F19" i="71"/>
  <c r="E19" i="71"/>
  <c r="W20" i="71"/>
  <c r="V20" i="71"/>
  <c r="U20" i="71"/>
  <c r="T20" i="71"/>
  <c r="S20" i="71"/>
  <c r="R20" i="71"/>
  <c r="Q20" i="71"/>
  <c r="P20" i="71"/>
  <c r="O20" i="71"/>
  <c r="N20" i="71"/>
  <c r="M20" i="71"/>
  <c r="L20" i="71"/>
  <c r="K20" i="71"/>
  <c r="J20" i="71"/>
  <c r="G20" i="71"/>
  <c r="F20" i="71"/>
  <c r="E20" i="71"/>
  <c r="H63" i="70"/>
  <c r="H20" i="71" s="1"/>
  <c r="G15" i="71"/>
  <c r="G58" i="71" s="1"/>
  <c r="G12" i="71"/>
  <c r="G26" i="71" s="1"/>
  <c r="F9" i="71"/>
  <c r="E9" i="71"/>
  <c r="G40" i="48"/>
  <c r="G19" i="71" s="1"/>
  <c r="J12" i="71"/>
  <c r="J26" i="71" s="1"/>
  <c r="J27" i="71" s="1"/>
  <c r="J28" i="71" s="1"/>
  <c r="J71" i="71" s="1"/>
  <c r="G10" i="71"/>
  <c r="F10" i="71"/>
  <c r="E10" i="71"/>
  <c r="E5" i="71"/>
  <c r="E4" i="71"/>
  <c r="E3" i="71"/>
  <c r="E2" i="71"/>
  <c r="A1" i="71"/>
  <c r="G139" i="69"/>
  <c r="E139" i="69"/>
  <c r="I138" i="69"/>
  <c r="G138" i="69"/>
  <c r="F138" i="69"/>
  <c r="E138" i="69"/>
  <c r="G137" i="69"/>
  <c r="I136" i="69"/>
  <c r="H136" i="69"/>
  <c r="G136" i="69"/>
  <c r="F136" i="69"/>
  <c r="E136" i="69"/>
  <c r="I135" i="69"/>
  <c r="H135" i="69"/>
  <c r="G135" i="69"/>
  <c r="F135" i="69"/>
  <c r="E135" i="69"/>
  <c r="G131" i="69"/>
  <c r="E131" i="69"/>
  <c r="I130" i="69"/>
  <c r="G130" i="69"/>
  <c r="F130" i="69"/>
  <c r="E130" i="69"/>
  <c r="G129" i="69"/>
  <c r="I128" i="69"/>
  <c r="F128" i="69"/>
  <c r="E128" i="69"/>
  <c r="I127" i="69"/>
  <c r="G127" i="69"/>
  <c r="F127" i="69"/>
  <c r="I122" i="69"/>
  <c r="I121" i="69"/>
  <c r="F35" i="48"/>
  <c r="F70" i="69" s="1"/>
  <c r="T115" i="69"/>
  <c r="E116" i="69"/>
  <c r="J114" i="69"/>
  <c r="J58" i="69"/>
  <c r="W115" i="69"/>
  <c r="V115" i="69"/>
  <c r="U115" i="69"/>
  <c r="S115" i="69"/>
  <c r="R115" i="69"/>
  <c r="Q115" i="69"/>
  <c r="P115" i="69"/>
  <c r="O115" i="69"/>
  <c r="N115" i="69"/>
  <c r="M115" i="69"/>
  <c r="L115" i="69"/>
  <c r="K115" i="69"/>
  <c r="J115" i="69"/>
  <c r="I115" i="69"/>
  <c r="F115" i="69"/>
  <c r="E115" i="69"/>
  <c r="I112" i="69"/>
  <c r="G112" i="69"/>
  <c r="F112" i="69"/>
  <c r="E112" i="69"/>
  <c r="F111" i="69"/>
  <c r="E111" i="69"/>
  <c r="E106" i="69"/>
  <c r="E105" i="69"/>
  <c r="E102" i="69"/>
  <c r="W99" i="69"/>
  <c r="V99" i="69"/>
  <c r="U99" i="69"/>
  <c r="T99" i="69"/>
  <c r="S99" i="69"/>
  <c r="R99" i="69"/>
  <c r="Q99" i="69"/>
  <c r="P99" i="69"/>
  <c r="O99" i="69"/>
  <c r="N99" i="69"/>
  <c r="M99" i="69"/>
  <c r="L99" i="69"/>
  <c r="K99" i="69"/>
  <c r="E99" i="69"/>
  <c r="W98" i="69"/>
  <c r="V98" i="69"/>
  <c r="U98" i="69"/>
  <c r="T98" i="69"/>
  <c r="S98" i="69"/>
  <c r="R98" i="69"/>
  <c r="Q98" i="69"/>
  <c r="P98" i="69"/>
  <c r="O98" i="69"/>
  <c r="N98" i="69"/>
  <c r="M98" i="69"/>
  <c r="L98" i="69"/>
  <c r="K98" i="69"/>
  <c r="J98" i="69"/>
  <c r="I98" i="69"/>
  <c r="F98" i="69"/>
  <c r="E98" i="69"/>
  <c r="I95" i="69"/>
  <c r="G95" i="69"/>
  <c r="F95" i="69"/>
  <c r="E95" i="69"/>
  <c r="F94" i="69"/>
  <c r="E94" i="69"/>
  <c r="E90" i="69"/>
  <c r="E89" i="69"/>
  <c r="I85" i="69"/>
  <c r="G85" i="69"/>
  <c r="F85" i="69"/>
  <c r="E85" i="69"/>
  <c r="F84" i="69"/>
  <c r="E84" i="69"/>
  <c r="E81" i="69"/>
  <c r="W77" i="69"/>
  <c r="V77" i="69"/>
  <c r="U77" i="69"/>
  <c r="T77" i="69"/>
  <c r="S77" i="69"/>
  <c r="R77" i="69"/>
  <c r="Q77" i="69"/>
  <c r="P77" i="69"/>
  <c r="O77" i="69"/>
  <c r="N77" i="69"/>
  <c r="M77" i="69"/>
  <c r="L77" i="69"/>
  <c r="K77" i="69"/>
  <c r="J77" i="69"/>
  <c r="I77" i="69"/>
  <c r="F77" i="69"/>
  <c r="E77" i="69"/>
  <c r="E75" i="69"/>
  <c r="G71" i="69"/>
  <c r="F71" i="69"/>
  <c r="E71" i="69"/>
  <c r="G70" i="69"/>
  <c r="E70" i="69"/>
  <c r="W66" i="69"/>
  <c r="W67" i="69" s="1"/>
  <c r="W122" i="69" s="1"/>
  <c r="V66" i="69"/>
  <c r="V67" i="69" s="1"/>
  <c r="V122" i="69" s="1"/>
  <c r="U66" i="69"/>
  <c r="U67" i="69" s="1"/>
  <c r="U122" i="69" s="1"/>
  <c r="T66" i="69"/>
  <c r="T67" i="69" s="1"/>
  <c r="T122" i="69" s="1"/>
  <c r="S66" i="69"/>
  <c r="S67" i="69" s="1"/>
  <c r="S122" i="69" s="1"/>
  <c r="R66" i="69"/>
  <c r="R67" i="69" s="1"/>
  <c r="R122" i="69" s="1"/>
  <c r="Q66" i="69"/>
  <c r="Q67" i="69" s="1"/>
  <c r="Q122" i="69" s="1"/>
  <c r="P66" i="69"/>
  <c r="P67" i="69" s="1"/>
  <c r="P122" i="69" s="1"/>
  <c r="O66" i="69"/>
  <c r="O67" i="69" s="1"/>
  <c r="O122" i="69" s="1"/>
  <c r="N66" i="69"/>
  <c r="N67" i="69" s="1"/>
  <c r="N122" i="69" s="1"/>
  <c r="M66" i="69"/>
  <c r="M67" i="69" s="1"/>
  <c r="M122" i="69" s="1"/>
  <c r="L66" i="69"/>
  <c r="L67" i="69" s="1"/>
  <c r="L122" i="69" s="1"/>
  <c r="K66" i="69"/>
  <c r="K67" i="69" s="1"/>
  <c r="K122" i="69" s="1"/>
  <c r="J66" i="69"/>
  <c r="J67" i="69" s="1"/>
  <c r="J122" i="69" s="1"/>
  <c r="I66" i="69"/>
  <c r="F66" i="69"/>
  <c r="E66" i="69"/>
  <c r="E67" i="69" s="1"/>
  <c r="E122" i="69" s="1"/>
  <c r="G36" i="48"/>
  <c r="G111" i="69" s="1"/>
  <c r="H58" i="70"/>
  <c r="H115" i="69" s="1"/>
  <c r="G58" i="70"/>
  <c r="G98" i="69" s="1"/>
  <c r="I116" i="69"/>
  <c r="G116" i="69"/>
  <c r="F116" i="69"/>
  <c r="G108" i="69"/>
  <c r="G128" i="69" s="1"/>
  <c r="E108" i="69"/>
  <c r="I106" i="69"/>
  <c r="H106" i="69"/>
  <c r="G106" i="69"/>
  <c r="F106" i="69"/>
  <c r="G105" i="69"/>
  <c r="G102" i="69"/>
  <c r="G99" i="69"/>
  <c r="F99" i="69"/>
  <c r="J97" i="69"/>
  <c r="J106" i="69" s="1"/>
  <c r="I90" i="69"/>
  <c r="G90" i="69"/>
  <c r="F90" i="69"/>
  <c r="I89" i="69"/>
  <c r="G89" i="69"/>
  <c r="F89" i="69"/>
  <c r="G81" i="69"/>
  <c r="G75" i="69"/>
  <c r="E60" i="69"/>
  <c r="W59" i="69"/>
  <c r="V59" i="69"/>
  <c r="U59" i="69"/>
  <c r="T59" i="69"/>
  <c r="S59" i="69"/>
  <c r="R59" i="69"/>
  <c r="Q59" i="69"/>
  <c r="P59" i="69"/>
  <c r="O59" i="69"/>
  <c r="N59" i="69"/>
  <c r="M59" i="69"/>
  <c r="L59" i="69"/>
  <c r="K59" i="69"/>
  <c r="J59" i="69"/>
  <c r="I59" i="69"/>
  <c r="F59" i="69"/>
  <c r="E59" i="69"/>
  <c r="I56" i="69"/>
  <c r="G56" i="69"/>
  <c r="F56" i="69"/>
  <c r="E56" i="69"/>
  <c r="F55" i="69"/>
  <c r="E55" i="69"/>
  <c r="E42" i="69"/>
  <c r="W42" i="69"/>
  <c r="V42" i="69"/>
  <c r="U42" i="69"/>
  <c r="T42" i="69"/>
  <c r="S42" i="69"/>
  <c r="R42" i="69"/>
  <c r="Q42" i="69"/>
  <c r="P42" i="69"/>
  <c r="O42" i="69"/>
  <c r="N42" i="69"/>
  <c r="M42" i="69"/>
  <c r="L42" i="69"/>
  <c r="K42" i="69"/>
  <c r="J42" i="69"/>
  <c r="I42" i="69"/>
  <c r="F42" i="69"/>
  <c r="E43" i="69"/>
  <c r="I39" i="69"/>
  <c r="G39" i="69"/>
  <c r="F39" i="69"/>
  <c r="E39" i="69"/>
  <c r="F38" i="69"/>
  <c r="E38" i="69"/>
  <c r="E34" i="69"/>
  <c r="E33" i="69"/>
  <c r="I29" i="69"/>
  <c r="G29" i="69"/>
  <c r="F29" i="69"/>
  <c r="E29" i="69"/>
  <c r="F28" i="69"/>
  <c r="E28" i="69"/>
  <c r="G31" i="48"/>
  <c r="G55" i="69" s="1"/>
  <c r="W21" i="69"/>
  <c r="V21" i="69"/>
  <c r="U21" i="69"/>
  <c r="T21" i="69"/>
  <c r="S21" i="69"/>
  <c r="R21" i="69"/>
  <c r="Q21" i="69"/>
  <c r="P21" i="69"/>
  <c r="O21" i="69"/>
  <c r="N21" i="69"/>
  <c r="M21" i="69"/>
  <c r="L21" i="69"/>
  <c r="K21" i="69"/>
  <c r="J21" i="69"/>
  <c r="I21" i="69"/>
  <c r="F21" i="69"/>
  <c r="E21" i="69"/>
  <c r="G14" i="69"/>
  <c r="E14" i="69"/>
  <c r="G19" i="69"/>
  <c r="E46" i="69"/>
  <c r="G15" i="69"/>
  <c r="F15" i="69"/>
  <c r="E15" i="69"/>
  <c r="F30" i="48"/>
  <c r="F14" i="69" s="1"/>
  <c r="K10" i="69"/>
  <c r="K11" i="69" s="1"/>
  <c r="K121" i="69" s="1"/>
  <c r="L10" i="69"/>
  <c r="L11" i="69" s="1"/>
  <c r="L121" i="69" s="1"/>
  <c r="M10" i="69"/>
  <c r="M11" i="69" s="1"/>
  <c r="M121" i="69" s="1"/>
  <c r="N10" i="69"/>
  <c r="N11" i="69" s="1"/>
  <c r="N121" i="69" s="1"/>
  <c r="O10" i="69"/>
  <c r="O11" i="69" s="1"/>
  <c r="O121" i="69" s="1"/>
  <c r="P10" i="69"/>
  <c r="P11" i="69" s="1"/>
  <c r="P121" i="69" s="1"/>
  <c r="Q10" i="69"/>
  <c r="Q11" i="69" s="1"/>
  <c r="Q121" i="69" s="1"/>
  <c r="R10" i="69"/>
  <c r="R11" i="69" s="1"/>
  <c r="R121" i="69" s="1"/>
  <c r="S10" i="69"/>
  <c r="S11" i="69" s="1"/>
  <c r="S121" i="69" s="1"/>
  <c r="T10" i="69"/>
  <c r="T11" i="69" s="1"/>
  <c r="T121" i="69" s="1"/>
  <c r="U10" i="69"/>
  <c r="U11" i="69" s="1"/>
  <c r="U121" i="69" s="1"/>
  <c r="V10" i="69"/>
  <c r="V11" i="69" s="1"/>
  <c r="V121" i="69" s="1"/>
  <c r="W10" i="69"/>
  <c r="W11" i="69" s="1"/>
  <c r="W121" i="69" s="1"/>
  <c r="J10" i="69"/>
  <c r="J11" i="69" s="1"/>
  <c r="J121" i="69" s="1"/>
  <c r="I10" i="69"/>
  <c r="F10" i="69"/>
  <c r="E10" i="69"/>
  <c r="E11" i="69" s="1"/>
  <c r="E121" i="69" s="1"/>
  <c r="H57" i="70"/>
  <c r="H10" i="69" s="1"/>
  <c r="G57" i="70"/>
  <c r="G10" i="69" s="1"/>
  <c r="G11" i="69" s="1"/>
  <c r="G121" i="69" s="1"/>
  <c r="E5" i="70"/>
  <c r="E4" i="70"/>
  <c r="E3" i="70"/>
  <c r="E2" i="70"/>
  <c r="A1" i="70"/>
  <c r="I60" i="69"/>
  <c r="G60" i="69"/>
  <c r="F60" i="69"/>
  <c r="G52" i="69"/>
  <c r="E52" i="69"/>
  <c r="E127" i="69" s="1"/>
  <c r="I50" i="69"/>
  <c r="H50" i="69"/>
  <c r="G50" i="69"/>
  <c r="F50" i="69"/>
  <c r="E50" i="69"/>
  <c r="G49" i="69"/>
  <c r="E49" i="69"/>
  <c r="G46" i="69"/>
  <c r="G43" i="69"/>
  <c r="F43" i="69"/>
  <c r="J41" i="69"/>
  <c r="J50" i="69" s="1"/>
  <c r="I34" i="69"/>
  <c r="G34" i="69"/>
  <c r="F34" i="69"/>
  <c r="I33" i="69"/>
  <c r="I35" i="69" s="1"/>
  <c r="I43" i="69" s="1"/>
  <c r="G33" i="69"/>
  <c r="F33" i="69"/>
  <c r="G25" i="69"/>
  <c r="E5" i="69"/>
  <c r="E4" i="69"/>
  <c r="E3" i="69"/>
  <c r="E2" i="69"/>
  <c r="A1" i="69"/>
  <c r="H36" i="71" l="1"/>
  <c r="H67" i="71"/>
  <c r="V123" i="69"/>
  <c r="V80" i="66" s="1"/>
  <c r="G36" i="71"/>
  <c r="G67" i="71"/>
  <c r="J51" i="71"/>
  <c r="J52" i="71" s="1"/>
  <c r="J72" i="71" s="1"/>
  <c r="J73" i="71" s="1"/>
  <c r="S21" i="71"/>
  <c r="S14" i="71" s="1"/>
  <c r="U44" i="71"/>
  <c r="U45" i="71" s="1"/>
  <c r="U66" i="71" s="1"/>
  <c r="J123" i="69"/>
  <c r="H59" i="69"/>
  <c r="H77" i="69"/>
  <c r="F72" i="69"/>
  <c r="F81" i="69" s="1"/>
  <c r="W87" i="69" s="1"/>
  <c r="W90" i="69" s="1"/>
  <c r="O123" i="69"/>
  <c r="Q123" i="69"/>
  <c r="Q80" i="66" s="1"/>
  <c r="L44" i="71"/>
  <c r="L37" i="71" s="1"/>
  <c r="N123" i="69"/>
  <c r="J44" i="71"/>
  <c r="J37" i="71" s="1"/>
  <c r="O44" i="71"/>
  <c r="O37" i="71" s="1"/>
  <c r="P44" i="71"/>
  <c r="P37" i="71" s="1"/>
  <c r="Q44" i="71"/>
  <c r="Q37" i="71" s="1"/>
  <c r="M123" i="69"/>
  <c r="P123" i="69"/>
  <c r="P80" i="66" s="1"/>
  <c r="K123" i="69"/>
  <c r="U21" i="71"/>
  <c r="U22" i="71" s="1"/>
  <c r="U65" i="71" s="1"/>
  <c r="U68" i="71" s="1"/>
  <c r="U87" i="66" s="1"/>
  <c r="L123" i="69"/>
  <c r="V21" i="71"/>
  <c r="V22" i="71" s="1"/>
  <c r="V65" i="71" s="1"/>
  <c r="H59" i="70"/>
  <c r="J21" i="71"/>
  <c r="J22" i="71" s="1"/>
  <c r="J65" i="71" s="1"/>
  <c r="K21" i="71"/>
  <c r="K22" i="71" s="1"/>
  <c r="K65" i="71" s="1"/>
  <c r="L21" i="71"/>
  <c r="L14" i="71" s="1"/>
  <c r="U123" i="69"/>
  <c r="U80" i="66" s="1"/>
  <c r="T123" i="69"/>
  <c r="T80" i="66" s="1"/>
  <c r="W123" i="69"/>
  <c r="W80" i="66" s="1"/>
  <c r="I91" i="69"/>
  <c r="I99" i="69" s="1"/>
  <c r="P21" i="71"/>
  <c r="P22" i="71" s="1"/>
  <c r="P65" i="71" s="1"/>
  <c r="G24" i="72"/>
  <c r="G51" i="72"/>
  <c r="G43" i="72"/>
  <c r="G52" i="72"/>
  <c r="G9" i="71"/>
  <c r="W44" i="71"/>
  <c r="W45" i="71" s="1"/>
  <c r="W66" i="71" s="1"/>
  <c r="T44" i="71"/>
  <c r="T45" i="71" s="1"/>
  <c r="T66" i="71" s="1"/>
  <c r="V44" i="71"/>
  <c r="V45" i="71" s="1"/>
  <c r="V66" i="71" s="1"/>
  <c r="M44" i="71"/>
  <c r="M37" i="71" s="1"/>
  <c r="K44" i="71"/>
  <c r="N44" i="71"/>
  <c r="M21" i="71"/>
  <c r="M22" i="71" s="1"/>
  <c r="M65" i="71" s="1"/>
  <c r="N21" i="71"/>
  <c r="N14" i="71" s="1"/>
  <c r="O21" i="71"/>
  <c r="O14" i="71" s="1"/>
  <c r="R44" i="71"/>
  <c r="Q21" i="71"/>
  <c r="Q22" i="71" s="1"/>
  <c r="Q65" i="71" s="1"/>
  <c r="S44" i="71"/>
  <c r="R21" i="71"/>
  <c r="R14" i="71" s="1"/>
  <c r="T21" i="71"/>
  <c r="T14" i="71" s="1"/>
  <c r="W21" i="71"/>
  <c r="W14" i="71" s="1"/>
  <c r="G45" i="71"/>
  <c r="G66" i="71" s="1"/>
  <c r="S123" i="69"/>
  <c r="S80" i="66" s="1"/>
  <c r="R123" i="69"/>
  <c r="R80" i="66" s="1"/>
  <c r="H21" i="69"/>
  <c r="H42" i="69"/>
  <c r="H98" i="69"/>
  <c r="H11" i="69"/>
  <c r="H121" i="69" s="1"/>
  <c r="G66" i="69"/>
  <c r="G67" i="69" s="1"/>
  <c r="G123" i="69" s="1"/>
  <c r="G59" i="69"/>
  <c r="H66" i="69"/>
  <c r="L22" i="71"/>
  <c r="L65" i="71" s="1"/>
  <c r="F16" i="69"/>
  <c r="F46" i="69" s="1"/>
  <c r="F47" i="69" s="1"/>
  <c r="F49" i="69" s="1"/>
  <c r="J51" i="69" s="1"/>
  <c r="J60" i="69" s="1"/>
  <c r="G115" i="69"/>
  <c r="J87" i="69"/>
  <c r="J90" i="69" s="1"/>
  <c r="R87" i="69"/>
  <c r="R90" i="69" s="1"/>
  <c r="Q87" i="69"/>
  <c r="Q90" i="69" s="1"/>
  <c r="O87" i="69"/>
  <c r="O90" i="69" s="1"/>
  <c r="G38" i="69"/>
  <c r="S87" i="69"/>
  <c r="S90" i="69" s="1"/>
  <c r="T87" i="69"/>
  <c r="T90" i="69" s="1"/>
  <c r="G28" i="69"/>
  <c r="G42" i="69"/>
  <c r="U87" i="69"/>
  <c r="U90" i="69" s="1"/>
  <c r="V87" i="69"/>
  <c r="V90" i="69" s="1"/>
  <c r="G94" i="69"/>
  <c r="G77" i="69"/>
  <c r="G84" i="69"/>
  <c r="K87" i="69"/>
  <c r="K90" i="69" s="1"/>
  <c r="G21" i="69"/>
  <c r="M87" i="69"/>
  <c r="M90" i="69" s="1"/>
  <c r="L87" i="69"/>
  <c r="L90" i="69" s="1"/>
  <c r="N87" i="69"/>
  <c r="N90" i="69" s="1"/>
  <c r="P87" i="69"/>
  <c r="P90" i="69" s="1"/>
  <c r="H67" i="69"/>
  <c r="H122" i="69" s="1"/>
  <c r="F75" i="69"/>
  <c r="F102" i="69"/>
  <c r="F103" i="69" s="1"/>
  <c r="F105" i="69" s="1"/>
  <c r="E25" i="69"/>
  <c r="E19" i="69"/>
  <c r="W59" i="63"/>
  <c r="V59" i="63"/>
  <c r="U59" i="63"/>
  <c r="T59" i="63"/>
  <c r="S59" i="63"/>
  <c r="R59" i="63"/>
  <c r="Q59" i="63"/>
  <c r="P59" i="63"/>
  <c r="O49" i="63"/>
  <c r="M49" i="63"/>
  <c r="L49" i="63"/>
  <c r="K49" i="63"/>
  <c r="J49" i="63"/>
  <c r="I49" i="63"/>
  <c r="G49" i="63"/>
  <c r="F49" i="63"/>
  <c r="E49" i="63"/>
  <c r="CA62" i="63"/>
  <c r="BZ62" i="63"/>
  <c r="BY62" i="63"/>
  <c r="BX62" i="63"/>
  <c r="BW62" i="63"/>
  <c r="BV62" i="63"/>
  <c r="BU62" i="63"/>
  <c r="BT62" i="63"/>
  <c r="BS62" i="63"/>
  <c r="BR62" i="63"/>
  <c r="BQ62" i="63"/>
  <c r="BP62" i="63"/>
  <c r="BO62" i="63"/>
  <c r="BN62" i="63"/>
  <c r="BM62" i="63"/>
  <c r="BL62" i="63"/>
  <c r="BK62" i="63"/>
  <c r="BJ62" i="63"/>
  <c r="BI62" i="63"/>
  <c r="BH62" i="63"/>
  <c r="BG62" i="63"/>
  <c r="BF62" i="63"/>
  <c r="BE62" i="63"/>
  <c r="BD62" i="63"/>
  <c r="BC62" i="63"/>
  <c r="BB62" i="63"/>
  <c r="BA62" i="63"/>
  <c r="AZ62" i="63"/>
  <c r="AY62" i="63"/>
  <c r="AX62" i="63"/>
  <c r="AW62" i="63"/>
  <c r="AV62" i="63"/>
  <c r="AU62" i="63"/>
  <c r="AT62" i="63"/>
  <c r="AS62" i="63"/>
  <c r="AR62" i="63"/>
  <c r="AQ62" i="63"/>
  <c r="AP62" i="63"/>
  <c r="AO62" i="63"/>
  <c r="AN62" i="63"/>
  <c r="AM62" i="63"/>
  <c r="AL62" i="63"/>
  <c r="AK62" i="63"/>
  <c r="AJ62" i="63"/>
  <c r="AI62" i="63"/>
  <c r="AH62" i="63"/>
  <c r="AG62" i="63"/>
  <c r="AF62" i="63"/>
  <c r="AE62" i="63"/>
  <c r="AD62" i="63"/>
  <c r="AC62" i="63"/>
  <c r="AB62" i="63"/>
  <c r="AA62" i="63"/>
  <c r="Z62" i="63"/>
  <c r="Y62" i="63"/>
  <c r="X62" i="63"/>
  <c r="E62" i="63"/>
  <c r="G61" i="63"/>
  <c r="G62" i="63" s="1"/>
  <c r="I60" i="63"/>
  <c r="F60" i="63"/>
  <c r="E60" i="63"/>
  <c r="O59" i="63"/>
  <c r="N59" i="63"/>
  <c r="M59" i="63"/>
  <c r="L59" i="63"/>
  <c r="K59" i="63"/>
  <c r="J59" i="63"/>
  <c r="I59" i="63"/>
  <c r="H59" i="63"/>
  <c r="G59" i="63"/>
  <c r="F59" i="63"/>
  <c r="E59" i="63"/>
  <c r="I50" i="63"/>
  <c r="G50" i="63"/>
  <c r="F50" i="63"/>
  <c r="E50" i="63"/>
  <c r="J18" i="66"/>
  <c r="W40" i="63"/>
  <c r="V40" i="63"/>
  <c r="U40" i="63"/>
  <c r="T40" i="63"/>
  <c r="S40" i="63"/>
  <c r="R40" i="63"/>
  <c r="Q40" i="63"/>
  <c r="P40" i="63"/>
  <c r="E40" i="63"/>
  <c r="O30" i="63"/>
  <c r="N30" i="63"/>
  <c r="M30" i="63"/>
  <c r="L30" i="63"/>
  <c r="K30" i="63"/>
  <c r="J30" i="63"/>
  <c r="I30" i="63"/>
  <c r="G30" i="63"/>
  <c r="F30" i="63"/>
  <c r="E30" i="63"/>
  <c r="CA43" i="63"/>
  <c r="BZ43" i="63"/>
  <c r="BY43" i="63"/>
  <c r="BX43" i="63"/>
  <c r="BW43" i="63"/>
  <c r="BV43" i="63"/>
  <c r="BU43" i="63"/>
  <c r="BT43" i="63"/>
  <c r="BS43" i="63"/>
  <c r="BR43" i="63"/>
  <c r="BQ43" i="63"/>
  <c r="BP43" i="63"/>
  <c r="BO43" i="63"/>
  <c r="BN43" i="63"/>
  <c r="BM43" i="63"/>
  <c r="BL43" i="63"/>
  <c r="BK43" i="63"/>
  <c r="BJ43" i="63"/>
  <c r="BI43" i="63"/>
  <c r="BH43" i="63"/>
  <c r="BG43" i="63"/>
  <c r="BF43" i="63"/>
  <c r="BE43" i="63"/>
  <c r="BD43" i="63"/>
  <c r="BC43" i="63"/>
  <c r="BB43" i="63"/>
  <c r="BA43" i="63"/>
  <c r="AZ43" i="63"/>
  <c r="AY43" i="63"/>
  <c r="AX43" i="63"/>
  <c r="AW43" i="63"/>
  <c r="AV43" i="63"/>
  <c r="AU43" i="63"/>
  <c r="AT43" i="63"/>
  <c r="AS43" i="63"/>
  <c r="AR43" i="63"/>
  <c r="AQ43" i="63"/>
  <c r="AP43" i="63"/>
  <c r="AO43" i="63"/>
  <c r="AN43" i="63"/>
  <c r="AM43" i="63"/>
  <c r="AL43" i="63"/>
  <c r="AK43" i="63"/>
  <c r="AJ43" i="63"/>
  <c r="AI43" i="63"/>
  <c r="AH43" i="63"/>
  <c r="AG43" i="63"/>
  <c r="AF43" i="63"/>
  <c r="AE43" i="63"/>
  <c r="AD43" i="63"/>
  <c r="AC43" i="63"/>
  <c r="AB43" i="63"/>
  <c r="AA43" i="63"/>
  <c r="Z43" i="63"/>
  <c r="Y43" i="63"/>
  <c r="X43" i="63"/>
  <c r="E43" i="63"/>
  <c r="G42" i="63"/>
  <c r="G43" i="63" s="1"/>
  <c r="I41" i="63"/>
  <c r="F41" i="63"/>
  <c r="E41" i="63"/>
  <c r="O40" i="63"/>
  <c r="N40" i="63"/>
  <c r="M40" i="63"/>
  <c r="L40" i="63"/>
  <c r="K40" i="63"/>
  <c r="J40" i="63"/>
  <c r="I40" i="63"/>
  <c r="H40" i="63"/>
  <c r="G40" i="63"/>
  <c r="F40" i="63"/>
  <c r="I31" i="63"/>
  <c r="G31" i="63"/>
  <c r="F31" i="63"/>
  <c r="E31" i="63"/>
  <c r="W63" i="61"/>
  <c r="V63" i="61"/>
  <c r="U63" i="61"/>
  <c r="T63" i="61"/>
  <c r="S63" i="61"/>
  <c r="R63" i="61"/>
  <c r="Q63" i="61"/>
  <c r="P63" i="61"/>
  <c r="O63" i="61"/>
  <c r="N63" i="61"/>
  <c r="M63" i="61"/>
  <c r="L63" i="61"/>
  <c r="K63" i="61"/>
  <c r="J63" i="61"/>
  <c r="I63" i="61"/>
  <c r="H63" i="61"/>
  <c r="G63" i="61"/>
  <c r="F63" i="61"/>
  <c r="E63" i="61"/>
  <c r="O53" i="61"/>
  <c r="N53" i="61"/>
  <c r="M53" i="61"/>
  <c r="L53" i="61"/>
  <c r="K53" i="61"/>
  <c r="J53" i="61"/>
  <c r="I53" i="61"/>
  <c r="G53" i="61"/>
  <c r="F53" i="61"/>
  <c r="E53" i="61"/>
  <c r="G65" i="61"/>
  <c r="I64" i="61"/>
  <c r="I50" i="74" s="1"/>
  <c r="F64" i="61"/>
  <c r="F50" i="74" s="1"/>
  <c r="E64" i="61"/>
  <c r="E50" i="74" s="1"/>
  <c r="I54" i="61"/>
  <c r="G54" i="61"/>
  <c r="F54" i="61"/>
  <c r="E54" i="61"/>
  <c r="V68" i="71" l="1"/>
  <c r="V87" i="66" s="1"/>
  <c r="S22" i="71"/>
  <c r="S65" i="71" s="1"/>
  <c r="H80" i="66"/>
  <c r="U14" i="71"/>
  <c r="Q45" i="71"/>
  <c r="Q66" i="71" s="1"/>
  <c r="Q68" i="71" s="1"/>
  <c r="Q87" i="66" s="1"/>
  <c r="O45" i="71"/>
  <c r="O66" i="71" s="1"/>
  <c r="P45" i="71"/>
  <c r="P66" i="71" s="1"/>
  <c r="P68" i="71" s="1"/>
  <c r="P87" i="66" s="1"/>
  <c r="U37" i="71"/>
  <c r="N22" i="71"/>
  <c r="N65" i="71" s="1"/>
  <c r="J45" i="71"/>
  <c r="J66" i="71" s="1"/>
  <c r="J68" i="71" s="1"/>
  <c r="P14" i="71"/>
  <c r="L45" i="71"/>
  <c r="L66" i="71" s="1"/>
  <c r="L68" i="71" s="1"/>
  <c r="M14" i="71"/>
  <c r="F25" i="69"/>
  <c r="V31" i="69" s="1"/>
  <c r="V34" i="69" s="1"/>
  <c r="V14" i="71"/>
  <c r="W37" i="71"/>
  <c r="V37" i="71"/>
  <c r="J14" i="71"/>
  <c r="K14" i="71"/>
  <c r="M45" i="71"/>
  <c r="M66" i="71" s="1"/>
  <c r="M68" i="71" s="1"/>
  <c r="H21" i="71"/>
  <c r="H14" i="71" s="1"/>
  <c r="W22" i="71"/>
  <c r="W65" i="71" s="1"/>
  <c r="W68" i="71" s="1"/>
  <c r="W87" i="66" s="1"/>
  <c r="Q14" i="71"/>
  <c r="T37" i="71"/>
  <c r="S37" i="71"/>
  <c r="S45" i="71"/>
  <c r="S66" i="71" s="1"/>
  <c r="R22" i="71"/>
  <c r="R65" i="71" s="1"/>
  <c r="H44" i="71"/>
  <c r="H37" i="71" s="1"/>
  <c r="K37" i="71"/>
  <c r="K45" i="71"/>
  <c r="K66" i="71" s="1"/>
  <c r="K68" i="71" s="1"/>
  <c r="R37" i="71"/>
  <c r="R45" i="71"/>
  <c r="R66" i="71" s="1"/>
  <c r="O22" i="71"/>
  <c r="O65" i="71" s="1"/>
  <c r="T22" i="71"/>
  <c r="T65" i="71" s="1"/>
  <c r="T68" i="71" s="1"/>
  <c r="T87" i="66" s="1"/>
  <c r="N37" i="71"/>
  <c r="N45" i="71"/>
  <c r="N66" i="71" s="1"/>
  <c r="H123" i="69"/>
  <c r="G122" i="69"/>
  <c r="F19" i="69"/>
  <c r="J22" i="69" s="1"/>
  <c r="J33" i="69" s="1"/>
  <c r="J78" i="69"/>
  <c r="J89" i="69" s="1"/>
  <c r="J91" i="69" s="1"/>
  <c r="J99" i="69" s="1"/>
  <c r="Q78" i="69"/>
  <c r="Q89" i="69" s="1"/>
  <c r="P78" i="69"/>
  <c r="P89" i="69" s="1"/>
  <c r="O78" i="69"/>
  <c r="O89" i="69" s="1"/>
  <c r="N78" i="69"/>
  <c r="N89" i="69" s="1"/>
  <c r="M78" i="69"/>
  <c r="M89" i="69" s="1"/>
  <c r="L78" i="69"/>
  <c r="L89" i="69" s="1"/>
  <c r="S78" i="69"/>
  <c r="S89" i="69" s="1"/>
  <c r="R78" i="69"/>
  <c r="R89" i="69" s="1"/>
  <c r="K78" i="69"/>
  <c r="K89" i="69" s="1"/>
  <c r="W78" i="69"/>
  <c r="W89" i="69" s="1"/>
  <c r="V78" i="69"/>
  <c r="V89" i="69" s="1"/>
  <c r="U78" i="69"/>
  <c r="U89" i="69" s="1"/>
  <c r="T78" i="69"/>
  <c r="T89" i="69" s="1"/>
  <c r="H87" i="69"/>
  <c r="H90" i="69" s="1"/>
  <c r="J107" i="69"/>
  <c r="J116" i="69" s="1"/>
  <c r="J52" i="69"/>
  <c r="J127" i="69" s="1"/>
  <c r="W22" i="69"/>
  <c r="W33" i="69" s="1"/>
  <c r="J31" i="69"/>
  <c r="N31" i="69"/>
  <c r="N34" i="69" s="1"/>
  <c r="M31" i="69"/>
  <c r="M34" i="69" s="1"/>
  <c r="L31" i="69"/>
  <c r="L34" i="69" s="1"/>
  <c r="K31" i="69"/>
  <c r="K34" i="69" s="1"/>
  <c r="W31" i="69"/>
  <c r="W34" i="69" s="1"/>
  <c r="AC22" i="78" l="1"/>
  <c r="AC23" i="78"/>
  <c r="R68" i="71"/>
  <c r="R87" i="66" s="1"/>
  <c r="S68" i="71"/>
  <c r="S87" i="66" s="1"/>
  <c r="O68" i="71"/>
  <c r="N68" i="71"/>
  <c r="O31" i="69"/>
  <c r="Q31" i="69"/>
  <c r="Q34" i="69" s="1"/>
  <c r="R31" i="69"/>
  <c r="R34" i="69" s="1"/>
  <c r="S31" i="69"/>
  <c r="S34" i="69" s="1"/>
  <c r="T31" i="69"/>
  <c r="T34" i="69" s="1"/>
  <c r="P31" i="69"/>
  <c r="P34" i="69" s="1"/>
  <c r="U31" i="69"/>
  <c r="U34" i="69" s="1"/>
  <c r="H22" i="71"/>
  <c r="H65" i="71" s="1"/>
  <c r="H45" i="71"/>
  <c r="H66" i="71" s="1"/>
  <c r="K22" i="69"/>
  <c r="K33" i="69" s="1"/>
  <c r="K35" i="69" s="1"/>
  <c r="K43" i="69" s="1"/>
  <c r="L22" i="69"/>
  <c r="L33" i="69" s="1"/>
  <c r="L35" i="69" s="1"/>
  <c r="L43" i="69" s="1"/>
  <c r="R22" i="69"/>
  <c r="R33" i="69" s="1"/>
  <c r="U22" i="69"/>
  <c r="U33" i="69" s="1"/>
  <c r="Q22" i="69"/>
  <c r="Q33" i="69" s="1"/>
  <c r="Q35" i="69" s="1"/>
  <c r="Q43" i="69" s="1"/>
  <c r="T22" i="69"/>
  <c r="T33" i="69" s="1"/>
  <c r="V22" i="69"/>
  <c r="V33" i="69" s="1"/>
  <c r="V35" i="69" s="1"/>
  <c r="V43" i="69" s="1"/>
  <c r="M22" i="69"/>
  <c r="M33" i="69" s="1"/>
  <c r="M35" i="69" s="1"/>
  <c r="M43" i="69" s="1"/>
  <c r="N22" i="69"/>
  <c r="N33" i="69" s="1"/>
  <c r="N35" i="69" s="1"/>
  <c r="N43" i="69" s="1"/>
  <c r="O22" i="69"/>
  <c r="O33" i="69" s="1"/>
  <c r="O35" i="69" s="1"/>
  <c r="O43" i="69" s="1"/>
  <c r="P22" i="69"/>
  <c r="P33" i="69" s="1"/>
  <c r="P35" i="69" s="1"/>
  <c r="P43" i="69" s="1"/>
  <c r="S22" i="69"/>
  <c r="S33" i="69" s="1"/>
  <c r="S35" i="69" s="1"/>
  <c r="S43" i="69" s="1"/>
  <c r="H78" i="69"/>
  <c r="H89" i="69" s="1"/>
  <c r="H91" i="69" s="1"/>
  <c r="H99" i="69" s="1"/>
  <c r="J34" i="69"/>
  <c r="J35" i="69" s="1"/>
  <c r="J43" i="69" s="1"/>
  <c r="J108" i="69"/>
  <c r="J128" i="69" s="1"/>
  <c r="J129" i="69" s="1"/>
  <c r="W35" i="69"/>
  <c r="W43" i="69" s="1"/>
  <c r="R35" i="69" l="1"/>
  <c r="R43" i="69" s="1"/>
  <c r="U35" i="69"/>
  <c r="U43" i="69" s="1"/>
  <c r="O34" i="69"/>
  <c r="H31" i="69"/>
  <c r="H34" i="69" s="1"/>
  <c r="T35" i="69"/>
  <c r="T43" i="69" s="1"/>
  <c r="H22" i="69"/>
  <c r="H33" i="69" s="1"/>
  <c r="H35" i="69" l="1"/>
  <c r="H43" i="69" s="1"/>
  <c r="O97" i="66"/>
  <c r="P93" i="66" s="1"/>
  <c r="N97" i="66"/>
  <c r="M97" i="66"/>
  <c r="L97" i="66"/>
  <c r="K97" i="66"/>
  <c r="J97" i="66"/>
  <c r="I86" i="66"/>
  <c r="G86" i="66"/>
  <c r="F86" i="66"/>
  <c r="E86" i="66"/>
  <c r="W82" i="66"/>
  <c r="W12" i="75" s="1"/>
  <c r="V82" i="66"/>
  <c r="V12" i="75" s="1"/>
  <c r="U82" i="66"/>
  <c r="U12" i="75" s="1"/>
  <c r="T82" i="66"/>
  <c r="T12" i="75" s="1"/>
  <c r="S82" i="66"/>
  <c r="S12" i="75" s="1"/>
  <c r="R82" i="66"/>
  <c r="R12" i="75" s="1"/>
  <c r="Q82" i="66"/>
  <c r="Q12" i="75" s="1"/>
  <c r="P82" i="66"/>
  <c r="P12" i="75" s="1"/>
  <c r="O82" i="66"/>
  <c r="O12" i="75" s="1"/>
  <c r="N82" i="66"/>
  <c r="N12" i="75" s="1"/>
  <c r="M82" i="66"/>
  <c r="M12" i="75" s="1"/>
  <c r="L82" i="66"/>
  <c r="L12" i="75" s="1"/>
  <c r="K82" i="66"/>
  <c r="K12" i="75" s="1"/>
  <c r="J82" i="66"/>
  <c r="J12" i="75" s="1"/>
  <c r="G77" i="66"/>
  <c r="I74" i="66"/>
  <c r="F74" i="66"/>
  <c r="E74" i="66"/>
  <c r="O59" i="66"/>
  <c r="N59" i="66"/>
  <c r="M59" i="66"/>
  <c r="L59" i="66"/>
  <c r="K59" i="66"/>
  <c r="J59" i="66"/>
  <c r="O54" i="66"/>
  <c r="N54" i="66"/>
  <c r="N61" i="66" s="1"/>
  <c r="M54" i="66"/>
  <c r="L54" i="66"/>
  <c r="K54" i="66"/>
  <c r="J54" i="66"/>
  <c r="O49" i="66"/>
  <c r="N49" i="66"/>
  <c r="M49" i="66"/>
  <c r="L49" i="66"/>
  <c r="K49" i="66"/>
  <c r="J49" i="66"/>
  <c r="O41" i="66"/>
  <c r="N41" i="66"/>
  <c r="M41" i="66"/>
  <c r="L41" i="66"/>
  <c r="K41" i="66"/>
  <c r="J41" i="66"/>
  <c r="O35" i="66"/>
  <c r="N35" i="66"/>
  <c r="M35" i="66"/>
  <c r="M43" i="66" s="1"/>
  <c r="L35" i="66"/>
  <c r="K35" i="66"/>
  <c r="J35" i="66"/>
  <c r="O29" i="66"/>
  <c r="O74" i="73" s="1"/>
  <c r="N29" i="66"/>
  <c r="N74" i="73" s="1"/>
  <c r="M29" i="66"/>
  <c r="M74" i="73" s="1"/>
  <c r="L29" i="66"/>
  <c r="L74" i="73" s="1"/>
  <c r="K29" i="66"/>
  <c r="K74" i="73" s="1"/>
  <c r="J29" i="66"/>
  <c r="J74" i="73" s="1"/>
  <c r="G19" i="66"/>
  <c r="O18" i="66"/>
  <c r="M18" i="66"/>
  <c r="L18" i="66"/>
  <c r="K18" i="66"/>
  <c r="N17" i="66"/>
  <c r="O11" i="66"/>
  <c r="N11" i="66"/>
  <c r="M11" i="66"/>
  <c r="L11" i="66"/>
  <c r="K11" i="66"/>
  <c r="K40" i="74" s="1"/>
  <c r="K41" i="74" s="1"/>
  <c r="J11" i="66"/>
  <c r="E5" i="66"/>
  <c r="E4" i="66"/>
  <c r="E3" i="66"/>
  <c r="E2" i="66"/>
  <c r="A1" i="66"/>
  <c r="CA24" i="63"/>
  <c r="BZ24" i="63"/>
  <c r="BY24" i="63"/>
  <c r="BX24" i="63"/>
  <c r="BW24" i="63"/>
  <c r="BV24" i="63"/>
  <c r="BU24" i="63"/>
  <c r="BT24" i="63"/>
  <c r="BS24" i="63"/>
  <c r="BR24" i="63"/>
  <c r="BQ24" i="63"/>
  <c r="BP24" i="63"/>
  <c r="BO24" i="63"/>
  <c r="BN24" i="63"/>
  <c r="BM24" i="63"/>
  <c r="BL24" i="63"/>
  <c r="BK24" i="63"/>
  <c r="BJ24" i="63"/>
  <c r="BI24" i="63"/>
  <c r="BH24" i="63"/>
  <c r="BG24" i="63"/>
  <c r="BF24" i="63"/>
  <c r="BE24" i="63"/>
  <c r="BD24" i="63"/>
  <c r="BC24" i="63"/>
  <c r="BB24" i="63"/>
  <c r="BA24" i="63"/>
  <c r="AZ24" i="63"/>
  <c r="AY24" i="63"/>
  <c r="AX24" i="63"/>
  <c r="AW24" i="63"/>
  <c r="AV24" i="63"/>
  <c r="AU24" i="63"/>
  <c r="AT24" i="63"/>
  <c r="AS24" i="63"/>
  <c r="AR24" i="63"/>
  <c r="AQ24" i="63"/>
  <c r="AP24" i="63"/>
  <c r="AO24" i="63"/>
  <c r="AN24" i="63"/>
  <c r="AM24" i="63"/>
  <c r="AL24" i="63"/>
  <c r="AK24" i="63"/>
  <c r="AJ24" i="63"/>
  <c r="AI24" i="63"/>
  <c r="AH24" i="63"/>
  <c r="AG24" i="63"/>
  <c r="AF24" i="63"/>
  <c r="AE24" i="63"/>
  <c r="AD24" i="63"/>
  <c r="AC24" i="63"/>
  <c r="AB24" i="63"/>
  <c r="AA24" i="63"/>
  <c r="Z24" i="63"/>
  <c r="Y24" i="63"/>
  <c r="X24" i="63"/>
  <c r="E24" i="63"/>
  <c r="G23" i="63"/>
  <c r="G24" i="63" s="1"/>
  <c r="I22" i="63"/>
  <c r="F22" i="63"/>
  <c r="E22" i="63"/>
  <c r="W21" i="63"/>
  <c r="V21" i="63"/>
  <c r="U21" i="63"/>
  <c r="T21" i="63"/>
  <c r="S21" i="63"/>
  <c r="R21" i="63"/>
  <c r="Q21" i="63"/>
  <c r="P21" i="63"/>
  <c r="O21" i="63"/>
  <c r="N21" i="63"/>
  <c r="M21" i="63"/>
  <c r="L21" i="63"/>
  <c r="K21" i="63"/>
  <c r="J21" i="63"/>
  <c r="I21" i="63"/>
  <c r="H21" i="63"/>
  <c r="G21" i="63"/>
  <c r="F21" i="63"/>
  <c r="E21" i="63"/>
  <c r="I12" i="63"/>
  <c r="G12" i="63"/>
  <c r="F12" i="63"/>
  <c r="E12" i="63"/>
  <c r="W11" i="63"/>
  <c r="V11" i="63"/>
  <c r="U11" i="63"/>
  <c r="T11" i="63"/>
  <c r="S11" i="63"/>
  <c r="R11" i="63"/>
  <c r="Q11" i="63"/>
  <c r="P11" i="63"/>
  <c r="O11" i="63"/>
  <c r="N11" i="63"/>
  <c r="M11" i="63"/>
  <c r="L11" i="63"/>
  <c r="K11" i="63"/>
  <c r="J11" i="63"/>
  <c r="I11" i="63"/>
  <c r="G11" i="63"/>
  <c r="F11" i="63"/>
  <c r="E11" i="63"/>
  <c r="E5" i="63"/>
  <c r="E4" i="63"/>
  <c r="E3" i="63"/>
  <c r="E2" i="63"/>
  <c r="A1" i="63"/>
  <c r="G47" i="61"/>
  <c r="I46" i="61"/>
  <c r="F46" i="61"/>
  <c r="I45" i="61"/>
  <c r="F45" i="61"/>
  <c r="E46" i="61"/>
  <c r="E45" i="61"/>
  <c r="W36" i="61"/>
  <c r="V36" i="61"/>
  <c r="U36" i="61"/>
  <c r="T36" i="61"/>
  <c r="S36" i="61"/>
  <c r="R36" i="61"/>
  <c r="Q36" i="61"/>
  <c r="P36" i="61"/>
  <c r="O36" i="61"/>
  <c r="N36" i="61"/>
  <c r="M36" i="61"/>
  <c r="L36" i="61"/>
  <c r="K36" i="61"/>
  <c r="J36" i="61"/>
  <c r="I36" i="61"/>
  <c r="H36" i="61"/>
  <c r="G36" i="61"/>
  <c r="F36" i="61"/>
  <c r="E36" i="61"/>
  <c r="W28" i="61"/>
  <c r="V28" i="61"/>
  <c r="U28" i="61"/>
  <c r="T28" i="61"/>
  <c r="S28" i="61"/>
  <c r="R28" i="61"/>
  <c r="Q28" i="61"/>
  <c r="P28" i="61"/>
  <c r="Q29" i="61" s="1"/>
  <c r="O28" i="61"/>
  <c r="N28" i="61"/>
  <c r="M28" i="61"/>
  <c r="L28" i="61"/>
  <c r="K28" i="61"/>
  <c r="J28" i="61"/>
  <c r="I28" i="61"/>
  <c r="J29" i="61" s="1"/>
  <c r="G28" i="61"/>
  <c r="F28" i="61"/>
  <c r="E28" i="61"/>
  <c r="W35" i="61"/>
  <c r="V35" i="61"/>
  <c r="U35" i="61"/>
  <c r="T35" i="61"/>
  <c r="S35" i="61"/>
  <c r="R35" i="61"/>
  <c r="Q35" i="61"/>
  <c r="P35" i="61"/>
  <c r="O35" i="61"/>
  <c r="N35" i="61"/>
  <c r="M35" i="61"/>
  <c r="L35" i="61"/>
  <c r="K35" i="61"/>
  <c r="J35" i="61"/>
  <c r="I35" i="61"/>
  <c r="G35" i="61"/>
  <c r="F35" i="61"/>
  <c r="E35" i="61"/>
  <c r="G39" i="61"/>
  <c r="G46" i="61" s="1"/>
  <c r="I38" i="61"/>
  <c r="G38" i="61"/>
  <c r="F38" i="61"/>
  <c r="E38" i="61"/>
  <c r="I37" i="61"/>
  <c r="G37" i="61"/>
  <c r="F37" i="61"/>
  <c r="E37" i="61"/>
  <c r="S29" i="61"/>
  <c r="R29" i="61"/>
  <c r="O29" i="61"/>
  <c r="N29" i="61"/>
  <c r="K43" i="66" l="1"/>
  <c r="V29" i="61"/>
  <c r="W29" i="61"/>
  <c r="G74" i="66"/>
  <c r="G9" i="75"/>
  <c r="O13" i="66"/>
  <c r="O15" i="66" s="1"/>
  <c r="O40" i="74"/>
  <c r="O41" i="74" s="1"/>
  <c r="N13" i="66"/>
  <c r="N15" i="66" s="1"/>
  <c r="N40" i="74"/>
  <c r="N41" i="74" s="1"/>
  <c r="M13" i="66"/>
  <c r="M15" i="66" s="1"/>
  <c r="M40" i="74"/>
  <c r="M41" i="74" s="1"/>
  <c r="L13" i="66"/>
  <c r="L15" i="66" s="1"/>
  <c r="L40" i="74"/>
  <c r="L41" i="74" s="1"/>
  <c r="J13" i="66"/>
  <c r="J15" i="66" s="1"/>
  <c r="J19" i="66" s="1"/>
  <c r="J40" i="74"/>
  <c r="J41" i="74" s="1"/>
  <c r="E77" i="74"/>
  <c r="E23" i="74"/>
  <c r="G23" i="74"/>
  <c r="G77" i="74"/>
  <c r="H82" i="66"/>
  <c r="H12" i="75" s="1"/>
  <c r="O11" i="73"/>
  <c r="O30" i="73"/>
  <c r="O31" i="73" s="1"/>
  <c r="N18" i="66"/>
  <c r="N19" i="66" s="1"/>
  <c r="N9" i="75" s="1"/>
  <c r="N13" i="75" s="1"/>
  <c r="N19" i="75" s="1"/>
  <c r="N49" i="63"/>
  <c r="K29" i="61"/>
  <c r="J61" i="66"/>
  <c r="J63" i="66" s="1"/>
  <c r="M61" i="66"/>
  <c r="M63" i="66" s="1"/>
  <c r="M65" i="66" s="1"/>
  <c r="J11" i="73"/>
  <c r="J30" i="73"/>
  <c r="J31" i="73" s="1"/>
  <c r="K11" i="73"/>
  <c r="K30" i="73"/>
  <c r="K31" i="73" s="1"/>
  <c r="L43" i="66"/>
  <c r="L65" i="66" s="1"/>
  <c r="L19" i="66"/>
  <c r="L30" i="73"/>
  <c r="L31" i="73" s="1"/>
  <c r="L11" i="73"/>
  <c r="M19" i="66"/>
  <c r="M30" i="73"/>
  <c r="M31" i="73" s="1"/>
  <c r="M11" i="73"/>
  <c r="N43" i="66"/>
  <c r="N68" i="66" s="1"/>
  <c r="N69" i="66" s="1"/>
  <c r="N11" i="73"/>
  <c r="N30" i="73"/>
  <c r="N31" i="73" s="1"/>
  <c r="G22" i="63"/>
  <c r="G60" i="63"/>
  <c r="G41" i="63"/>
  <c r="G64" i="61"/>
  <c r="G50" i="74" s="1"/>
  <c r="O43" i="66"/>
  <c r="M29" i="61"/>
  <c r="L61" i="66"/>
  <c r="L63" i="66" s="1"/>
  <c r="N63" i="66"/>
  <c r="O19" i="66"/>
  <c r="U29" i="61"/>
  <c r="K13" i="66"/>
  <c r="J43" i="66"/>
  <c r="J21" i="66"/>
  <c r="K61" i="66"/>
  <c r="K63" i="66" s="1"/>
  <c r="O61" i="66"/>
  <c r="O63" i="66" s="1"/>
  <c r="O68" i="66" s="1"/>
  <c r="O69" i="66" s="1"/>
  <c r="J90" i="66"/>
  <c r="L29" i="61"/>
  <c r="P29" i="61"/>
  <c r="T29" i="61"/>
  <c r="G24" i="61"/>
  <c r="G45" i="61" s="1"/>
  <c r="I23" i="61"/>
  <c r="G23" i="61"/>
  <c r="F23" i="61"/>
  <c r="E23" i="61"/>
  <c r="I22" i="61"/>
  <c r="G22" i="61"/>
  <c r="F22" i="61"/>
  <c r="E22" i="61"/>
  <c r="W21" i="61"/>
  <c r="V21" i="61"/>
  <c r="I21" i="61"/>
  <c r="H21" i="61"/>
  <c r="G21" i="61"/>
  <c r="W20" i="61"/>
  <c r="V20" i="61"/>
  <c r="U20" i="61"/>
  <c r="T20" i="61"/>
  <c r="S20" i="61"/>
  <c r="R20" i="61"/>
  <c r="Q20" i="61"/>
  <c r="P20" i="61"/>
  <c r="O20" i="61"/>
  <c r="N20" i="61"/>
  <c r="M20" i="61"/>
  <c r="L20" i="61"/>
  <c r="K20" i="61"/>
  <c r="J20" i="61"/>
  <c r="I20" i="61"/>
  <c r="G20" i="61"/>
  <c r="F20" i="61"/>
  <c r="E20" i="61"/>
  <c r="W13" i="61"/>
  <c r="V13" i="61"/>
  <c r="O13" i="61"/>
  <c r="N13" i="61"/>
  <c r="M13" i="61"/>
  <c r="M14" i="61" s="1"/>
  <c r="L13" i="61"/>
  <c r="K13" i="61"/>
  <c r="J13" i="61"/>
  <c r="G13" i="61"/>
  <c r="F13" i="61"/>
  <c r="E13" i="61"/>
  <c r="A1" i="61"/>
  <c r="E5" i="61"/>
  <c r="E4" i="61"/>
  <c r="E3" i="61"/>
  <c r="E2" i="61"/>
  <c r="H53" i="57"/>
  <c r="H52" i="57"/>
  <c r="H48" i="57"/>
  <c r="H47" i="57"/>
  <c r="H46" i="57"/>
  <c r="H40" i="57"/>
  <c r="H39" i="57"/>
  <c r="H38" i="57"/>
  <c r="H34" i="57"/>
  <c r="H28" i="57"/>
  <c r="H27" i="57"/>
  <c r="H9" i="57"/>
  <c r="H24" i="57"/>
  <c r="H12" i="72" s="1"/>
  <c r="H22" i="57"/>
  <c r="H20" i="57"/>
  <c r="H16" i="57"/>
  <c r="H14" i="57"/>
  <c r="H12" i="57"/>
  <c r="H11" i="63" s="1"/>
  <c r="H10" i="57"/>
  <c r="J9" i="75" l="1"/>
  <c r="J13" i="75" s="1"/>
  <c r="J19" i="75" s="1"/>
  <c r="J74" i="66"/>
  <c r="J77" i="66" s="1"/>
  <c r="N65" i="66"/>
  <c r="K68" i="66"/>
  <c r="K69" i="66" s="1"/>
  <c r="L74" i="66"/>
  <c r="L77" i="66" s="1"/>
  <c r="L90" i="66" s="1"/>
  <c r="L94" i="66" s="1"/>
  <c r="L9" i="75"/>
  <c r="L13" i="75" s="1"/>
  <c r="L19" i="75" s="1"/>
  <c r="M21" i="66"/>
  <c r="M23" i="66" s="1"/>
  <c r="M74" i="66"/>
  <c r="M77" i="66" s="1"/>
  <c r="M90" i="66" s="1"/>
  <c r="M94" i="66" s="1"/>
  <c r="M9" i="75"/>
  <c r="M13" i="75" s="1"/>
  <c r="M19" i="75" s="1"/>
  <c r="O74" i="66"/>
  <c r="O77" i="66" s="1"/>
  <c r="O90" i="66" s="1"/>
  <c r="O94" i="66" s="1"/>
  <c r="O9" i="75"/>
  <c r="O13" i="75" s="1"/>
  <c r="O19" i="75" s="1"/>
  <c r="H20" i="61"/>
  <c r="H13" i="61"/>
  <c r="J94" i="66"/>
  <c r="N74" i="66"/>
  <c r="N77" i="66" s="1"/>
  <c r="N90" i="66" s="1"/>
  <c r="N94" i="66" s="1"/>
  <c r="N21" i="66"/>
  <c r="N23" i="66" s="1"/>
  <c r="M25" i="66"/>
  <c r="M73" i="73" s="1"/>
  <c r="M22" i="72"/>
  <c r="M23" i="72" s="1"/>
  <c r="M41" i="72"/>
  <c r="M42" i="72" s="1"/>
  <c r="L21" i="66"/>
  <c r="L23" i="66" s="1"/>
  <c r="O14" i="61"/>
  <c r="L68" i="66"/>
  <c r="L69" i="66" s="1"/>
  <c r="K14" i="61"/>
  <c r="O21" i="66"/>
  <c r="O23" i="66" s="1"/>
  <c r="J14" i="61"/>
  <c r="H35" i="61"/>
  <c r="H28" i="61"/>
  <c r="N14" i="61"/>
  <c r="W14" i="61"/>
  <c r="K65" i="66"/>
  <c r="J68" i="66"/>
  <c r="J69" i="66" s="1"/>
  <c r="J65" i="66"/>
  <c r="M68" i="66"/>
  <c r="M69" i="66" s="1"/>
  <c r="K15" i="66"/>
  <c r="J23" i="66"/>
  <c r="F29" i="61"/>
  <c r="L14" i="61"/>
  <c r="W82" i="57"/>
  <c r="V82" i="57"/>
  <c r="U82" i="57"/>
  <c r="T82" i="57"/>
  <c r="S82" i="57"/>
  <c r="R82" i="57"/>
  <c r="Q82" i="57"/>
  <c r="P82" i="57"/>
  <c r="W59" i="57"/>
  <c r="V59" i="57"/>
  <c r="U59" i="57"/>
  <c r="T59" i="57"/>
  <c r="S59" i="57"/>
  <c r="R59" i="57"/>
  <c r="Q59" i="57"/>
  <c r="P59" i="57"/>
  <c r="W54" i="57"/>
  <c r="V54" i="57"/>
  <c r="U54" i="57"/>
  <c r="T54" i="57"/>
  <c r="S54" i="57"/>
  <c r="R54" i="57"/>
  <c r="R61" i="57" s="1"/>
  <c r="Q54" i="57"/>
  <c r="P54" i="57"/>
  <c r="W49" i="57"/>
  <c r="V49" i="57"/>
  <c r="U49" i="57"/>
  <c r="T49" i="57"/>
  <c r="S49" i="57"/>
  <c r="R49" i="57"/>
  <c r="Q49" i="57"/>
  <c r="P49" i="57"/>
  <c r="W41" i="57"/>
  <c r="V41" i="57"/>
  <c r="U41" i="57"/>
  <c r="T41" i="57"/>
  <c r="S41" i="57"/>
  <c r="R41" i="57"/>
  <c r="Q41" i="57"/>
  <c r="P41" i="57"/>
  <c r="W35" i="57"/>
  <c r="V35" i="57"/>
  <c r="U35" i="57"/>
  <c r="T35" i="57"/>
  <c r="S35" i="57"/>
  <c r="R35" i="57"/>
  <c r="Q35" i="57"/>
  <c r="P35" i="57"/>
  <c r="W29" i="57"/>
  <c r="V29" i="57"/>
  <c r="U29" i="57"/>
  <c r="T29" i="57"/>
  <c r="S29" i="57"/>
  <c r="R29" i="57"/>
  <c r="Q29" i="57"/>
  <c r="P29" i="57"/>
  <c r="W11" i="57"/>
  <c r="V11" i="57"/>
  <c r="O88" i="57"/>
  <c r="K88" i="57"/>
  <c r="W86" i="57"/>
  <c r="W88" i="57" s="1"/>
  <c r="V86" i="57"/>
  <c r="V88" i="57" s="1"/>
  <c r="U86" i="57"/>
  <c r="U88" i="57" s="1"/>
  <c r="T86" i="57"/>
  <c r="T88" i="57" s="1"/>
  <c r="S86" i="57"/>
  <c r="S88" i="57" s="1"/>
  <c r="R86" i="57"/>
  <c r="R88" i="57" s="1"/>
  <c r="Q86" i="57"/>
  <c r="Q88" i="57" s="1"/>
  <c r="P86" i="57"/>
  <c r="P88" i="57" s="1"/>
  <c r="N88" i="57"/>
  <c r="M88" i="57"/>
  <c r="L88" i="57"/>
  <c r="J88" i="57"/>
  <c r="I86" i="57"/>
  <c r="H86" i="57"/>
  <c r="G86" i="57"/>
  <c r="F86" i="57"/>
  <c r="E86" i="57"/>
  <c r="G77" i="57"/>
  <c r="I74" i="57"/>
  <c r="F74" i="57"/>
  <c r="E74" i="57"/>
  <c r="G19" i="57"/>
  <c r="G74" i="57" s="1"/>
  <c r="W18" i="57"/>
  <c r="V18" i="57"/>
  <c r="U18" i="57"/>
  <c r="T18" i="57"/>
  <c r="S18" i="57"/>
  <c r="R18" i="57"/>
  <c r="Q18" i="57"/>
  <c r="P18" i="57"/>
  <c r="O18" i="57"/>
  <c r="M18" i="57"/>
  <c r="L18" i="57"/>
  <c r="K18" i="57"/>
  <c r="J18" i="57"/>
  <c r="M43" i="72" l="1"/>
  <c r="M52" i="72"/>
  <c r="J22" i="72"/>
  <c r="J23" i="72" s="1"/>
  <c r="J41" i="72"/>
  <c r="J42" i="72" s="1"/>
  <c r="M24" i="72"/>
  <c r="M51" i="72"/>
  <c r="Q43" i="57"/>
  <c r="S43" i="57"/>
  <c r="M22" i="73"/>
  <c r="M23" i="73" s="1"/>
  <c r="M12" i="73"/>
  <c r="M13" i="73" s="1"/>
  <c r="V43" i="57"/>
  <c r="W31" i="63"/>
  <c r="W50" i="63"/>
  <c r="W54" i="61"/>
  <c r="W43" i="57"/>
  <c r="N25" i="66"/>
  <c r="N73" i="73" s="1"/>
  <c r="N22" i="72"/>
  <c r="N23" i="72" s="1"/>
  <c r="N41" i="72"/>
  <c r="N42" i="72" s="1"/>
  <c r="O25" i="66"/>
  <c r="O73" i="73" s="1"/>
  <c r="O22" i="72"/>
  <c r="O23" i="72" s="1"/>
  <c r="O41" i="72"/>
  <c r="O42" i="72" s="1"/>
  <c r="L25" i="66"/>
  <c r="L73" i="73" s="1"/>
  <c r="L22" i="72"/>
  <c r="L23" i="72" s="1"/>
  <c r="L41" i="72"/>
  <c r="L42" i="72" s="1"/>
  <c r="T43" i="57"/>
  <c r="U43" i="57"/>
  <c r="V50" i="63"/>
  <c r="V31" i="63"/>
  <c r="V54" i="61"/>
  <c r="P61" i="57"/>
  <c r="P63" i="57" s="1"/>
  <c r="V13" i="57"/>
  <c r="V15" i="57" s="1"/>
  <c r="V19" i="57" s="1"/>
  <c r="V12" i="63"/>
  <c r="V13" i="63" s="1"/>
  <c r="T61" i="57"/>
  <c r="T63" i="57" s="1"/>
  <c r="U61" i="57"/>
  <c r="U63" i="57" s="1"/>
  <c r="W13" i="57"/>
  <c r="W15" i="57" s="1"/>
  <c r="W19" i="57" s="1"/>
  <c r="W12" i="63"/>
  <c r="W13" i="63" s="1"/>
  <c r="S61" i="57"/>
  <c r="S63" i="57" s="1"/>
  <c r="V61" i="57"/>
  <c r="V63" i="57" s="1"/>
  <c r="W61" i="57"/>
  <c r="W63" i="57" s="1"/>
  <c r="P43" i="57"/>
  <c r="R43" i="57"/>
  <c r="R63" i="57"/>
  <c r="J25" i="66"/>
  <c r="J73" i="73" s="1"/>
  <c r="K19" i="66"/>
  <c r="K9" i="75" s="1"/>
  <c r="K13" i="75" s="1"/>
  <c r="K19" i="75" s="1"/>
  <c r="Q61" i="57"/>
  <c r="Q63" i="57" s="1"/>
  <c r="L43" i="72" l="1"/>
  <c r="L52" i="72"/>
  <c r="J52" i="72"/>
  <c r="J43" i="72"/>
  <c r="M40" i="73"/>
  <c r="M41" i="73" s="1"/>
  <c r="M45" i="73" s="1"/>
  <c r="M44" i="73"/>
  <c r="J22" i="73"/>
  <c r="J12" i="73"/>
  <c r="J51" i="72"/>
  <c r="J24" i="72"/>
  <c r="L24" i="72"/>
  <c r="L51" i="72"/>
  <c r="N24" i="72"/>
  <c r="N51" i="72"/>
  <c r="L22" i="73"/>
  <c r="L23" i="73" s="1"/>
  <c r="L12" i="73"/>
  <c r="L13" i="73" s="1"/>
  <c r="O43" i="72"/>
  <c r="O52" i="72"/>
  <c r="O24" i="72"/>
  <c r="O51" i="72"/>
  <c r="O22" i="73"/>
  <c r="O23" i="73" s="1"/>
  <c r="O12" i="73"/>
  <c r="O13" i="73" s="1"/>
  <c r="N43" i="72"/>
  <c r="N52" i="72"/>
  <c r="N12" i="73"/>
  <c r="N13" i="73" s="1"/>
  <c r="N22" i="73"/>
  <c r="N23" i="73" s="1"/>
  <c r="K74" i="66"/>
  <c r="K77" i="66" s="1"/>
  <c r="K90" i="66" s="1"/>
  <c r="K21" i="66"/>
  <c r="V74" i="57"/>
  <c r="V77" i="57" s="1"/>
  <c r="V90" i="57" s="1"/>
  <c r="V94" i="57" s="1"/>
  <c r="V21" i="57"/>
  <c r="V23" i="57" s="1"/>
  <c r="W74" i="57"/>
  <c r="W77" i="57" s="1"/>
  <c r="W90" i="57" s="1"/>
  <c r="W94" i="57" s="1"/>
  <c r="W21" i="57"/>
  <c r="W23" i="57" s="1"/>
  <c r="W68" i="57"/>
  <c r="W69" i="57" s="1"/>
  <c r="V68" i="57"/>
  <c r="V69" i="57" s="1"/>
  <c r="U68" i="57"/>
  <c r="U69" i="57" s="1"/>
  <c r="T68" i="57"/>
  <c r="T69" i="57" s="1"/>
  <c r="S68" i="57"/>
  <c r="S69" i="57" s="1"/>
  <c r="R68" i="57"/>
  <c r="R69" i="57" s="1"/>
  <c r="Q68" i="57"/>
  <c r="Q69" i="57" s="1"/>
  <c r="P68" i="57"/>
  <c r="P69" i="57" s="1"/>
  <c r="M46" i="73" l="1"/>
  <c r="K94" i="66"/>
  <c r="V25" i="57"/>
  <c r="V11" i="72"/>
  <c r="V13" i="72" s="1"/>
  <c r="V30" i="72"/>
  <c r="J13" i="73"/>
  <c r="W25" i="57"/>
  <c r="W11" i="72"/>
  <c r="W13" i="72" s="1"/>
  <c r="W30" i="72"/>
  <c r="N44" i="73"/>
  <c r="N40" i="73"/>
  <c r="N41" i="73" s="1"/>
  <c r="N45" i="73" s="1"/>
  <c r="J23" i="73"/>
  <c r="O40" i="73"/>
  <c r="O41" i="73" s="1"/>
  <c r="O45" i="73" s="1"/>
  <c r="O44" i="73"/>
  <c r="L44" i="73"/>
  <c r="L40" i="73"/>
  <c r="L41" i="73" s="1"/>
  <c r="L45" i="73" s="1"/>
  <c r="K23" i="66"/>
  <c r="O97" i="57"/>
  <c r="P93" i="57" s="1"/>
  <c r="N97" i="57"/>
  <c r="AD22" i="78" l="1"/>
  <c r="AD23" i="78"/>
  <c r="N46" i="73"/>
  <c r="O46" i="73"/>
  <c r="K22" i="72"/>
  <c r="K23" i="72" s="1"/>
  <c r="K41" i="72"/>
  <c r="K42" i="72" s="1"/>
  <c r="J44" i="73"/>
  <c r="J40" i="73"/>
  <c r="J41" i="73" s="1"/>
  <c r="L46" i="73"/>
  <c r="K25" i="66"/>
  <c r="K73" i="73" s="1"/>
  <c r="K41" i="57"/>
  <c r="L41" i="57"/>
  <c r="M41" i="57"/>
  <c r="N41" i="57"/>
  <c r="O41" i="57"/>
  <c r="J41" i="57"/>
  <c r="K22" i="73" l="1"/>
  <c r="K12" i="73"/>
  <c r="K24" i="72"/>
  <c r="K51" i="72"/>
  <c r="J45" i="73"/>
  <c r="J46" i="73" s="1"/>
  <c r="K43" i="72"/>
  <c r="K52" i="72"/>
  <c r="H41" i="57"/>
  <c r="O82" i="57"/>
  <c r="O59" i="57"/>
  <c r="O54" i="57"/>
  <c r="O49" i="57"/>
  <c r="O35" i="57"/>
  <c r="O29" i="57"/>
  <c r="K23" i="73" l="1"/>
  <c r="K13" i="73"/>
  <c r="O61" i="57"/>
  <c r="O63" i="57" s="1"/>
  <c r="O43" i="57"/>
  <c r="K44" i="73" l="1"/>
  <c r="K40" i="73"/>
  <c r="K41" i="73" s="1"/>
  <c r="O68" i="57"/>
  <c r="O69" i="57" s="1"/>
  <c r="K45" i="73" l="1"/>
  <c r="K46" i="73" s="1"/>
  <c r="N59" i="57"/>
  <c r="M59" i="57"/>
  <c r="L59" i="57"/>
  <c r="K59" i="57"/>
  <c r="J59" i="57"/>
  <c r="N17" i="57"/>
  <c r="H17" i="57" s="1"/>
  <c r="O11" i="57"/>
  <c r="O54" i="61" l="1"/>
  <c r="O55" i="61" s="1"/>
  <c r="O31" i="63"/>
  <c r="O32" i="63" s="1"/>
  <c r="O50" i="63"/>
  <c r="O51" i="63" s="1"/>
  <c r="O13" i="57"/>
  <c r="O15" i="57" s="1"/>
  <c r="O19" i="57" s="1"/>
  <c r="O74" i="57" s="1"/>
  <c r="O77" i="57" s="1"/>
  <c r="O90" i="57" s="1"/>
  <c r="O12" i="63"/>
  <c r="O13" i="63" s="1"/>
  <c r="O21" i="57"/>
  <c r="O23" i="57" s="1"/>
  <c r="N18" i="57"/>
  <c r="H18" i="57" s="1"/>
  <c r="O25" i="57" l="1"/>
  <c r="O11" i="72"/>
  <c r="O13" i="72" s="1"/>
  <c r="O30" i="72"/>
  <c r="O32" i="72" s="1"/>
  <c r="O94" i="57"/>
  <c r="M97" i="57"/>
  <c r="L97" i="57"/>
  <c r="K97" i="57"/>
  <c r="J97" i="57"/>
  <c r="N82" i="57"/>
  <c r="M82" i="57"/>
  <c r="L82" i="57"/>
  <c r="K82" i="57"/>
  <c r="J82" i="57"/>
  <c r="N54" i="57"/>
  <c r="M54" i="57"/>
  <c r="L54" i="57"/>
  <c r="K54" i="57"/>
  <c r="J54" i="57"/>
  <c r="N49" i="57"/>
  <c r="M49" i="57"/>
  <c r="L49" i="57"/>
  <c r="K49" i="57"/>
  <c r="J49" i="57"/>
  <c r="N35" i="57"/>
  <c r="M35" i="57"/>
  <c r="L35" i="57"/>
  <c r="K35" i="57"/>
  <c r="J35" i="57"/>
  <c r="N29" i="57"/>
  <c r="M29" i="57"/>
  <c r="L29" i="57"/>
  <c r="K29" i="57"/>
  <c r="N11" i="57"/>
  <c r="M11" i="57"/>
  <c r="L11" i="57"/>
  <c r="K11" i="57"/>
  <c r="J11" i="57"/>
  <c r="E5" i="57"/>
  <c r="E4" i="57"/>
  <c r="E3" i="57"/>
  <c r="E2" i="57"/>
  <c r="A1" i="57"/>
  <c r="F46" i="44"/>
  <c r="G46" i="44"/>
  <c r="E46" i="44"/>
  <c r="I47" i="44"/>
  <c r="H47" i="44"/>
  <c r="G47" i="44"/>
  <c r="F47" i="44"/>
  <c r="E47" i="44"/>
  <c r="CA21" i="28"/>
  <c r="BZ21" i="28"/>
  <c r="BY21" i="28"/>
  <c r="BX21" i="28"/>
  <c r="BW21" i="28"/>
  <c r="BV21" i="28"/>
  <c r="BU21" i="28"/>
  <c r="BT21" i="28"/>
  <c r="BS21" i="28"/>
  <c r="BR21" i="28"/>
  <c r="BQ21" i="28"/>
  <c r="BP21" i="28"/>
  <c r="BO21" i="28"/>
  <c r="BN21" i="28"/>
  <c r="BM21" i="28"/>
  <c r="BL21" i="28"/>
  <c r="BK21" i="28"/>
  <c r="BJ21" i="28"/>
  <c r="BI21" i="28"/>
  <c r="BH21" i="28"/>
  <c r="BG21" i="28"/>
  <c r="BF21" i="28"/>
  <c r="BE21" i="28"/>
  <c r="BD21" i="28"/>
  <c r="BC21" i="28"/>
  <c r="BB21" i="28"/>
  <c r="BA21" i="28"/>
  <c r="AZ21" i="28"/>
  <c r="AY21" i="28"/>
  <c r="AX21" i="28"/>
  <c r="AW21" i="28"/>
  <c r="AV21" i="28"/>
  <c r="AU21" i="28"/>
  <c r="AT21" i="28"/>
  <c r="AS21" i="28"/>
  <c r="AR21" i="28"/>
  <c r="AQ21" i="28"/>
  <c r="AP21" i="28"/>
  <c r="AO21" i="28"/>
  <c r="AN21" i="28"/>
  <c r="AM21" i="28"/>
  <c r="AL21" i="28"/>
  <c r="AK21" i="28"/>
  <c r="AJ21" i="28"/>
  <c r="AI21" i="28"/>
  <c r="AH21" i="28"/>
  <c r="AG21" i="28"/>
  <c r="AF21" i="28"/>
  <c r="AE21" i="28"/>
  <c r="AD21" i="28"/>
  <c r="AC21" i="28"/>
  <c r="AB21" i="28"/>
  <c r="AA21" i="28"/>
  <c r="Z21" i="28"/>
  <c r="Y21" i="28"/>
  <c r="X21" i="28"/>
  <c r="W21" i="28"/>
  <c r="V21" i="28"/>
  <c r="U21" i="28"/>
  <c r="T21" i="28"/>
  <c r="S21" i="28"/>
  <c r="R21" i="28"/>
  <c r="Q21" i="28"/>
  <c r="P21" i="28"/>
  <c r="O21" i="28"/>
  <c r="N21" i="28"/>
  <c r="M21" i="28"/>
  <c r="L21" i="28"/>
  <c r="K21" i="28"/>
  <c r="J21" i="28"/>
  <c r="G21" i="28"/>
  <c r="E21" i="28"/>
  <c r="H20" i="28"/>
  <c r="I62" i="44"/>
  <c r="G62" i="44"/>
  <c r="F62" i="44"/>
  <c r="E62" i="44"/>
  <c r="G51" i="44"/>
  <c r="F51" i="44"/>
  <c r="E51" i="44"/>
  <c r="I52" i="44"/>
  <c r="H52" i="44"/>
  <c r="G52" i="44"/>
  <c r="F52" i="44"/>
  <c r="E52" i="44"/>
  <c r="G36" i="44"/>
  <c r="F36" i="44"/>
  <c r="E36" i="44"/>
  <c r="F40" i="44"/>
  <c r="G40" i="44"/>
  <c r="E40" i="44"/>
  <c r="J9" i="44"/>
  <c r="F12" i="44"/>
  <c r="F13" i="44"/>
  <c r="F17" i="44"/>
  <c r="I18" i="44"/>
  <c r="H18" i="44"/>
  <c r="G18" i="44"/>
  <c r="F18" i="44"/>
  <c r="E18" i="44"/>
  <c r="G17" i="44"/>
  <c r="E17" i="44"/>
  <c r="G13" i="44"/>
  <c r="E13" i="44"/>
  <c r="G12" i="44"/>
  <c r="F31" i="44"/>
  <c r="J12" i="28"/>
  <c r="I57" i="44"/>
  <c r="H57" i="44"/>
  <c r="G57" i="44"/>
  <c r="F57" i="44"/>
  <c r="E57" i="44"/>
  <c r="I42" i="44"/>
  <c r="H42" i="44"/>
  <c r="G42" i="44"/>
  <c r="F42" i="44"/>
  <c r="E42" i="44"/>
  <c r="I32" i="44"/>
  <c r="H32" i="44"/>
  <c r="G32" i="44"/>
  <c r="F32" i="44"/>
  <c r="E32" i="44"/>
  <c r="F37" i="44"/>
  <c r="F21" i="44"/>
  <c r="F22" i="44"/>
  <c r="E4" i="28"/>
  <c r="E3" i="28"/>
  <c r="E2" i="28"/>
  <c r="E5" i="28"/>
  <c r="A1" i="28"/>
  <c r="G22" i="44"/>
  <c r="E22" i="44"/>
  <c r="G21" i="44"/>
  <c r="E21" i="44"/>
  <c r="G41" i="44"/>
  <c r="E41" i="44"/>
  <c r="G56" i="44"/>
  <c r="E56" i="44"/>
  <c r="G37" i="44"/>
  <c r="E37" i="44"/>
  <c r="E4" i="44"/>
  <c r="I23" i="44"/>
  <c r="H23" i="44"/>
  <c r="G23" i="44"/>
  <c r="F23" i="44"/>
  <c r="I24" i="44"/>
  <c r="G24" i="44"/>
  <c r="F24" i="44"/>
  <c r="E24" i="44"/>
  <c r="E23" i="44"/>
  <c r="E3" i="44"/>
  <c r="I63" i="44"/>
  <c r="G63" i="44"/>
  <c r="F63" i="44"/>
  <c r="E63" i="44"/>
  <c r="G31" i="44"/>
  <c r="E31" i="44"/>
  <c r="I10" i="28"/>
  <c r="G10" i="28"/>
  <c r="F10" i="28"/>
  <c r="E10" i="28"/>
  <c r="E2" i="44"/>
  <c r="E5" i="44"/>
  <c r="A1" i="48"/>
  <c r="A1" i="44"/>
  <c r="E12" i="44"/>
  <c r="I14" i="44"/>
  <c r="G14" i="44"/>
  <c r="F14" i="44"/>
  <c r="E14" i="44"/>
  <c r="AE22" i="78" l="1"/>
  <c r="AE23" i="78"/>
  <c r="J5" i="75"/>
  <c r="J5" i="74"/>
  <c r="J5" i="73"/>
  <c r="J5" i="72"/>
  <c r="J5" i="71"/>
  <c r="J5" i="69"/>
  <c r="J5" i="70"/>
  <c r="J12" i="63"/>
  <c r="J13" i="63" s="1"/>
  <c r="J54" i="61"/>
  <c r="J55" i="61" s="1"/>
  <c r="J50" i="63"/>
  <c r="J51" i="63" s="1"/>
  <c r="J31" i="63"/>
  <c r="J32" i="63" s="1"/>
  <c r="K12" i="63"/>
  <c r="K13" i="63" s="1"/>
  <c r="K54" i="61"/>
  <c r="K55" i="61" s="1"/>
  <c r="K50" i="63"/>
  <c r="K51" i="63" s="1"/>
  <c r="K31" i="63"/>
  <c r="K32" i="63" s="1"/>
  <c r="L12" i="63"/>
  <c r="L13" i="63" s="1"/>
  <c r="L54" i="61"/>
  <c r="L55" i="61" s="1"/>
  <c r="L31" i="63"/>
  <c r="L32" i="63" s="1"/>
  <c r="L50" i="63"/>
  <c r="L51" i="63" s="1"/>
  <c r="M12" i="63"/>
  <c r="M13" i="63" s="1"/>
  <c r="M31" i="63"/>
  <c r="M32" i="63" s="1"/>
  <c r="M54" i="61"/>
  <c r="M55" i="61" s="1"/>
  <c r="M50" i="63"/>
  <c r="M51" i="63" s="1"/>
  <c r="N12" i="63"/>
  <c r="N13" i="63" s="1"/>
  <c r="N50" i="63"/>
  <c r="N51" i="63" s="1"/>
  <c r="N31" i="63"/>
  <c r="N32" i="63" s="1"/>
  <c r="N54" i="61"/>
  <c r="N55" i="61" s="1"/>
  <c r="J5" i="61"/>
  <c r="J5" i="66"/>
  <c r="J5" i="63"/>
  <c r="H49" i="57"/>
  <c r="H11" i="57"/>
  <c r="H54" i="57"/>
  <c r="H29" i="57"/>
  <c r="H35" i="57"/>
  <c r="L43" i="57"/>
  <c r="K61" i="57"/>
  <c r="K63" i="57" s="1"/>
  <c r="L61" i="57"/>
  <c r="L63" i="57" s="1"/>
  <c r="K43" i="57"/>
  <c r="J13" i="57"/>
  <c r="J43" i="57"/>
  <c r="N43" i="57"/>
  <c r="N61" i="57"/>
  <c r="N63" i="57" s="1"/>
  <c r="J5" i="44"/>
  <c r="J61" i="57"/>
  <c r="J63" i="57" s="1"/>
  <c r="M61" i="57"/>
  <c r="M63" i="57" s="1"/>
  <c r="N13" i="57"/>
  <c r="N15" i="57" s="1"/>
  <c r="N19" i="57" s="1"/>
  <c r="H21" i="28"/>
  <c r="L13" i="57"/>
  <c r="L15" i="57" s="1"/>
  <c r="L19" i="57" s="1"/>
  <c r="F38" i="44"/>
  <c r="K13" i="57"/>
  <c r="K15" i="57" s="1"/>
  <c r="K19" i="57" s="1"/>
  <c r="M43" i="57"/>
  <c r="M13" i="57"/>
  <c r="M15" i="57" s="1"/>
  <c r="M19" i="57" s="1"/>
  <c r="J5" i="57"/>
  <c r="K9" i="44"/>
  <c r="J10" i="44"/>
  <c r="J5" i="28"/>
  <c r="K5" i="75" l="1"/>
  <c r="K5" i="74"/>
  <c r="H12" i="63"/>
  <c r="H13" i="63" s="1"/>
  <c r="H31" i="63"/>
  <c r="H54" i="61"/>
  <c r="H50" i="63"/>
  <c r="K5" i="73"/>
  <c r="K5" i="72"/>
  <c r="K5" i="71"/>
  <c r="K5" i="70"/>
  <c r="K5" i="69"/>
  <c r="K5" i="61"/>
  <c r="K5" i="63"/>
  <c r="K5" i="66"/>
  <c r="H43" i="57"/>
  <c r="J15" i="57"/>
  <c r="H13" i="57"/>
  <c r="K21" i="57"/>
  <c r="K23" i="57" s="1"/>
  <c r="K74" i="57"/>
  <c r="K77" i="57" s="1"/>
  <c r="K90" i="57" s="1"/>
  <c r="K94" i="57" s="1"/>
  <c r="N21" i="57"/>
  <c r="N23" i="57" s="1"/>
  <c r="N74" i="57"/>
  <c r="N77" i="57" s="1"/>
  <c r="N90" i="57" s="1"/>
  <c r="L21" i="57"/>
  <c r="L23" i="57" s="1"/>
  <c r="L74" i="57"/>
  <c r="L77" i="57" s="1"/>
  <c r="L90" i="57" s="1"/>
  <c r="L94" i="57" s="1"/>
  <c r="M21" i="57"/>
  <c r="M23" i="57" s="1"/>
  <c r="M74" i="57"/>
  <c r="M77" i="57" s="1"/>
  <c r="M90" i="57" s="1"/>
  <c r="L65" i="57"/>
  <c r="K68" i="57"/>
  <c r="K69" i="57" s="1"/>
  <c r="K65" i="57"/>
  <c r="J65" i="57"/>
  <c r="N65" i="57"/>
  <c r="N68" i="57"/>
  <c r="N69" i="57" s="1"/>
  <c r="J68" i="57"/>
  <c r="J69" i="57" s="1"/>
  <c r="F56" i="44"/>
  <c r="F41" i="44"/>
  <c r="K5" i="28"/>
  <c r="K5" i="44"/>
  <c r="K10" i="44"/>
  <c r="K5" i="57"/>
  <c r="L9" i="44"/>
  <c r="L68" i="57"/>
  <c r="L69" i="57" s="1"/>
  <c r="M68" i="57"/>
  <c r="M69" i="57" s="1"/>
  <c r="M65" i="57"/>
  <c r="J24" i="44"/>
  <c r="J25" i="44" s="1"/>
  <c r="J14" i="44"/>
  <c r="J15" i="44" s="1"/>
  <c r="J18" i="44" s="1"/>
  <c r="J19" i="44" s="1"/>
  <c r="L5" i="75" l="1"/>
  <c r="L5" i="74"/>
  <c r="J4" i="75"/>
  <c r="J4" i="74"/>
  <c r="J43" i="75"/>
  <c r="J2" i="75"/>
  <c r="J2" i="74"/>
  <c r="K25" i="57"/>
  <c r="K30" i="72"/>
  <c r="K32" i="72" s="1"/>
  <c r="K11" i="72"/>
  <c r="K13" i="72" s="1"/>
  <c r="J4" i="73"/>
  <c r="J4" i="71"/>
  <c r="J4" i="72"/>
  <c r="L5" i="73"/>
  <c r="L5" i="72"/>
  <c r="L5" i="69"/>
  <c r="L5" i="71"/>
  <c r="L5" i="70"/>
  <c r="J2" i="73"/>
  <c r="J2" i="72"/>
  <c r="J2" i="71"/>
  <c r="M25" i="57"/>
  <c r="M30" i="72"/>
  <c r="M32" i="72" s="1"/>
  <c r="M11" i="72"/>
  <c r="M13" i="72" s="1"/>
  <c r="L25" i="57"/>
  <c r="L30" i="72"/>
  <c r="L32" i="72" s="1"/>
  <c r="L11" i="72"/>
  <c r="L13" i="72" s="1"/>
  <c r="N25" i="57"/>
  <c r="N30" i="72"/>
  <c r="N32" i="72" s="1"/>
  <c r="N11" i="72"/>
  <c r="N13" i="72" s="1"/>
  <c r="J4" i="70"/>
  <c r="J4" i="69"/>
  <c r="J2" i="70"/>
  <c r="J2" i="69"/>
  <c r="L5" i="61"/>
  <c r="L5" i="63"/>
  <c r="L5" i="66"/>
  <c r="J4" i="61"/>
  <c r="J4" i="66"/>
  <c r="J4" i="63"/>
  <c r="J2" i="61"/>
  <c r="J2" i="63"/>
  <c r="J2" i="66"/>
  <c r="J19" i="57"/>
  <c r="H15" i="57"/>
  <c r="M94" i="57"/>
  <c r="N94" i="57"/>
  <c r="F69" i="57"/>
  <c r="K14" i="44"/>
  <c r="K15" i="44" s="1"/>
  <c r="K18" i="44" s="1"/>
  <c r="K19" i="44" s="1"/>
  <c r="K24" i="44"/>
  <c r="L5" i="57"/>
  <c r="L10" i="44"/>
  <c r="L5" i="44"/>
  <c r="M9" i="44"/>
  <c r="L5" i="28"/>
  <c r="J4" i="44"/>
  <c r="J4" i="57"/>
  <c r="J4" i="28"/>
  <c r="J42" i="44"/>
  <c r="J57" i="44"/>
  <c r="J58" i="44" s="1"/>
  <c r="J28" i="75" s="1"/>
  <c r="J29" i="75" s="1"/>
  <c r="J34" i="75" s="1"/>
  <c r="J35" i="75" s="1"/>
  <c r="J63" i="75" s="1"/>
  <c r="J23" i="44"/>
  <c r="J32" i="44"/>
  <c r="J33" i="44" s="1"/>
  <c r="J47" i="44"/>
  <c r="J48" i="44" s="1"/>
  <c r="J18" i="75" s="1"/>
  <c r="J2" i="44"/>
  <c r="J2" i="57"/>
  <c r="J2" i="28"/>
  <c r="J52" i="44"/>
  <c r="J53" i="44" s="1"/>
  <c r="K2" i="75" l="1"/>
  <c r="K43" i="75"/>
  <c r="K2" i="74"/>
  <c r="M5" i="75"/>
  <c r="M5" i="74"/>
  <c r="J58" i="73"/>
  <c r="J63" i="73" s="1"/>
  <c r="K60" i="73" s="1"/>
  <c r="J70" i="73"/>
  <c r="J75" i="73" s="1"/>
  <c r="M5" i="73"/>
  <c r="M5" i="72"/>
  <c r="M5" i="71"/>
  <c r="M5" i="69"/>
  <c r="M5" i="70"/>
  <c r="J48" i="72"/>
  <c r="J53" i="72" s="1"/>
  <c r="J33" i="71"/>
  <c r="J38" i="71" s="1"/>
  <c r="J10" i="71"/>
  <c r="J15" i="71" s="1"/>
  <c r="K2" i="73"/>
  <c r="K2" i="72"/>
  <c r="K2" i="71"/>
  <c r="J95" i="69"/>
  <c r="J100" i="69" s="1"/>
  <c r="K97" i="69" s="1"/>
  <c r="J29" i="69"/>
  <c r="J30" i="69" s="1"/>
  <c r="J85" i="69"/>
  <c r="J86" i="69" s="1"/>
  <c r="J56" i="69"/>
  <c r="J61" i="69" s="1"/>
  <c r="J39" i="69"/>
  <c r="J44" i="69" s="1"/>
  <c r="K41" i="69" s="1"/>
  <c r="K50" i="69" s="1"/>
  <c r="K51" i="69" s="1"/>
  <c r="J112" i="69"/>
  <c r="J117" i="69" s="1"/>
  <c r="K2" i="69"/>
  <c r="K2" i="70"/>
  <c r="K2" i="61"/>
  <c r="K2" i="63"/>
  <c r="K2" i="66"/>
  <c r="J38" i="61"/>
  <c r="J23" i="61"/>
  <c r="M5" i="61"/>
  <c r="M5" i="63"/>
  <c r="M5" i="66"/>
  <c r="H19" i="57"/>
  <c r="H74" i="57" s="1"/>
  <c r="J74" i="57"/>
  <c r="J77" i="57" s="1"/>
  <c r="J90" i="57" s="1"/>
  <c r="J94" i="57" s="1"/>
  <c r="J21" i="57"/>
  <c r="J43" i="44"/>
  <c r="F2" i="57"/>
  <c r="J62" i="44"/>
  <c r="J64" i="44" s="1"/>
  <c r="K23" i="44"/>
  <c r="K25" i="44" s="1"/>
  <c r="K57" i="44"/>
  <c r="K58" i="44" s="1"/>
  <c r="K28" i="75" s="1"/>
  <c r="K29" i="75" s="1"/>
  <c r="K34" i="75" s="1"/>
  <c r="K35" i="75" s="1"/>
  <c r="K63" i="75" s="1"/>
  <c r="K47" i="44"/>
  <c r="K48" i="44" s="1"/>
  <c r="K18" i="75" s="1"/>
  <c r="K2" i="28"/>
  <c r="K42" i="44"/>
  <c r="K2" i="57"/>
  <c r="K32" i="44"/>
  <c r="K33" i="44" s="1"/>
  <c r="K2" i="44"/>
  <c r="K52" i="44"/>
  <c r="K53" i="44" s="1"/>
  <c r="K62" i="44" s="1"/>
  <c r="K64" i="44" s="1"/>
  <c r="J10" i="28"/>
  <c r="J15" i="28" s="1"/>
  <c r="K12" i="28" s="1"/>
  <c r="L24" i="44"/>
  <c r="L14" i="44"/>
  <c r="L15" i="44" s="1"/>
  <c r="L18" i="44" s="1"/>
  <c r="L19" i="44" s="1"/>
  <c r="M10" i="44"/>
  <c r="N9" i="44"/>
  <c r="M5" i="57"/>
  <c r="M5" i="28"/>
  <c r="M5" i="44"/>
  <c r="J57" i="75" l="1"/>
  <c r="J44" i="75"/>
  <c r="J85" i="74"/>
  <c r="J86" i="74" s="1"/>
  <c r="J90" i="74" s="1"/>
  <c r="J58" i="74"/>
  <c r="J59" i="74" s="1"/>
  <c r="J91" i="74" s="1"/>
  <c r="J31" i="74"/>
  <c r="J32" i="74" s="1"/>
  <c r="J92" i="74" s="1"/>
  <c r="J3" i="75"/>
  <c r="J3" i="74"/>
  <c r="K4" i="75"/>
  <c r="K4" i="74"/>
  <c r="K3" i="75"/>
  <c r="K3" i="74"/>
  <c r="L43" i="75"/>
  <c r="L2" i="75"/>
  <c r="L2" i="74"/>
  <c r="N5" i="75"/>
  <c r="N5" i="74"/>
  <c r="J76" i="73"/>
  <c r="J64" i="73"/>
  <c r="J65" i="73" s="1"/>
  <c r="K58" i="73"/>
  <c r="K70" i="73"/>
  <c r="K72" i="73"/>
  <c r="J77" i="73"/>
  <c r="K63" i="73"/>
  <c r="L60" i="73" s="1"/>
  <c r="K4" i="73"/>
  <c r="K4" i="71"/>
  <c r="K4" i="72"/>
  <c r="K35" i="71"/>
  <c r="K50" i="71" s="1"/>
  <c r="J59" i="71"/>
  <c r="K50" i="72"/>
  <c r="L2" i="73"/>
  <c r="L2" i="72"/>
  <c r="L2" i="71"/>
  <c r="J3" i="73"/>
  <c r="J3" i="72"/>
  <c r="J3" i="71"/>
  <c r="K12" i="71"/>
  <c r="K26" i="71" s="1"/>
  <c r="K27" i="71" s="1"/>
  <c r="J58" i="71"/>
  <c r="J51" i="73"/>
  <c r="J52" i="73" s="1"/>
  <c r="J54" i="72"/>
  <c r="J55" i="72" s="1"/>
  <c r="J130" i="69"/>
  <c r="J131" i="69" s="1"/>
  <c r="J74" i="71"/>
  <c r="J75" i="71" s="1"/>
  <c r="J61" i="71"/>
  <c r="J138" i="69"/>
  <c r="N5" i="73"/>
  <c r="N5" i="72"/>
  <c r="N5" i="71"/>
  <c r="N5" i="70"/>
  <c r="N5" i="69"/>
  <c r="K3" i="73"/>
  <c r="K3" i="71"/>
  <c r="K3" i="72"/>
  <c r="K48" i="72"/>
  <c r="K33" i="71"/>
  <c r="K10" i="71"/>
  <c r="K114" i="69"/>
  <c r="J136" i="69"/>
  <c r="K58" i="69"/>
  <c r="J135" i="69"/>
  <c r="K60" i="69"/>
  <c r="K52" i="69"/>
  <c r="K127" i="69" s="1"/>
  <c r="K56" i="69"/>
  <c r="K95" i="69"/>
  <c r="K100" i="69" s="1"/>
  <c r="L97" i="69" s="1"/>
  <c r="K29" i="69"/>
  <c r="K30" i="69" s="1"/>
  <c r="K85" i="69"/>
  <c r="K86" i="69" s="1"/>
  <c r="K39" i="69"/>
  <c r="K44" i="69" s="1"/>
  <c r="L41" i="69" s="1"/>
  <c r="L50" i="69" s="1"/>
  <c r="L51" i="69" s="1"/>
  <c r="K112" i="69"/>
  <c r="K106" i="69"/>
  <c r="K107" i="69" s="1"/>
  <c r="K3" i="70"/>
  <c r="K3" i="69"/>
  <c r="L2" i="70"/>
  <c r="L2" i="69"/>
  <c r="K4" i="69"/>
  <c r="K4" i="70"/>
  <c r="J3" i="70"/>
  <c r="J3" i="69"/>
  <c r="L2" i="61"/>
  <c r="L2" i="63"/>
  <c r="L2" i="66"/>
  <c r="N5" i="61"/>
  <c r="N5" i="63"/>
  <c r="N5" i="66"/>
  <c r="J63" i="44"/>
  <c r="J37" i="61"/>
  <c r="J39" i="61" s="1"/>
  <c r="J22" i="61"/>
  <c r="K3" i="61"/>
  <c r="K3" i="63"/>
  <c r="K3" i="66"/>
  <c r="K38" i="61"/>
  <c r="K23" i="61"/>
  <c r="K4" i="61"/>
  <c r="K4" i="66"/>
  <c r="K4" i="63"/>
  <c r="J3" i="61"/>
  <c r="J3" i="63"/>
  <c r="J3" i="66"/>
  <c r="J23" i="57"/>
  <c r="H21" i="57"/>
  <c r="K43" i="44"/>
  <c r="K4" i="57"/>
  <c r="K4" i="44"/>
  <c r="K4" i="28"/>
  <c r="K10" i="28"/>
  <c r="K15" i="28" s="1"/>
  <c r="L12" i="28" s="1"/>
  <c r="J3" i="44"/>
  <c r="J3" i="28"/>
  <c r="J3" i="57"/>
  <c r="M14" i="44"/>
  <c r="M15" i="44" s="1"/>
  <c r="M18" i="44" s="1"/>
  <c r="M19" i="44" s="1"/>
  <c r="M24" i="44"/>
  <c r="N5" i="57"/>
  <c r="O9" i="44"/>
  <c r="N10" i="44"/>
  <c r="N5" i="44"/>
  <c r="N5" i="28"/>
  <c r="L2" i="44"/>
  <c r="L2" i="28"/>
  <c r="L52" i="44"/>
  <c r="L53" i="44" s="1"/>
  <c r="L23" i="44"/>
  <c r="L25" i="44" s="1"/>
  <c r="L47" i="44"/>
  <c r="L48" i="44" s="1"/>
  <c r="L18" i="75" s="1"/>
  <c r="L2" i="57"/>
  <c r="L42" i="44"/>
  <c r="L32" i="44"/>
  <c r="L33" i="44" s="1"/>
  <c r="L57" i="44"/>
  <c r="L58" i="44" s="1"/>
  <c r="L28" i="75" s="1"/>
  <c r="L29" i="75" s="1"/>
  <c r="L34" i="75" s="1"/>
  <c r="K3" i="28"/>
  <c r="K3" i="44"/>
  <c r="K3" i="57"/>
  <c r="J45" i="75" l="1"/>
  <c r="J20" i="75"/>
  <c r="J93" i="74"/>
  <c r="K57" i="75"/>
  <c r="K44" i="75"/>
  <c r="K85" i="74"/>
  <c r="K86" i="74" s="1"/>
  <c r="K90" i="74" s="1"/>
  <c r="K58" i="74"/>
  <c r="K59" i="74" s="1"/>
  <c r="K91" i="74" s="1"/>
  <c r="K31" i="74"/>
  <c r="K32" i="74" s="1"/>
  <c r="K92" i="74" s="1"/>
  <c r="M43" i="75"/>
  <c r="M2" i="75"/>
  <c r="M2" i="74"/>
  <c r="O5" i="75"/>
  <c r="O5" i="74"/>
  <c r="L4" i="75"/>
  <c r="L4" i="74"/>
  <c r="J137" i="69"/>
  <c r="K38" i="71"/>
  <c r="L35" i="71" s="1"/>
  <c r="L50" i="71" s="1"/>
  <c r="L51" i="71" s="1"/>
  <c r="L52" i="71" s="1"/>
  <c r="L72" i="71" s="1"/>
  <c r="J60" i="71"/>
  <c r="J62" i="71" s="1"/>
  <c r="J139" i="69"/>
  <c r="L58" i="73"/>
  <c r="L63" i="73" s="1"/>
  <c r="M60" i="73" s="1"/>
  <c r="L70" i="73"/>
  <c r="K75" i="73"/>
  <c r="K76" i="73"/>
  <c r="K64" i="73"/>
  <c r="K65" i="73" s="1"/>
  <c r="K53" i="72"/>
  <c r="L50" i="72" s="1"/>
  <c r="J53" i="73"/>
  <c r="K63" i="44"/>
  <c r="K51" i="73"/>
  <c r="K52" i="73" s="1"/>
  <c r="K53" i="73" s="1"/>
  <c r="K54" i="72"/>
  <c r="K74" i="71"/>
  <c r="K61" i="71"/>
  <c r="K138" i="69"/>
  <c r="K130" i="69"/>
  <c r="L4" i="73"/>
  <c r="L4" i="71"/>
  <c r="L4" i="72"/>
  <c r="J30" i="72"/>
  <c r="J32" i="72" s="1"/>
  <c r="J11" i="72"/>
  <c r="J13" i="72" s="1"/>
  <c r="K28" i="71"/>
  <c r="K71" i="71" s="1"/>
  <c r="L48" i="72"/>
  <c r="L33" i="71"/>
  <c r="L10" i="71"/>
  <c r="K51" i="71"/>
  <c r="O5" i="73"/>
  <c r="O5" i="72"/>
  <c r="O5" i="69"/>
  <c r="O5" i="70"/>
  <c r="O5" i="71"/>
  <c r="M2" i="73"/>
  <c r="M2" i="72"/>
  <c r="M2" i="71"/>
  <c r="K15" i="71"/>
  <c r="K61" i="69"/>
  <c r="L106" i="69"/>
  <c r="L107" i="69" s="1"/>
  <c r="L52" i="69"/>
  <c r="L127" i="69" s="1"/>
  <c r="L60" i="69"/>
  <c r="K108" i="69"/>
  <c r="K128" i="69" s="1"/>
  <c r="K129" i="69" s="1"/>
  <c r="K116" i="69"/>
  <c r="K117" i="69" s="1"/>
  <c r="L56" i="69"/>
  <c r="L95" i="69"/>
  <c r="L100" i="69" s="1"/>
  <c r="M97" i="69" s="1"/>
  <c r="L29" i="69"/>
  <c r="L30" i="69" s="1"/>
  <c r="L39" i="69"/>
  <c r="L44" i="69" s="1"/>
  <c r="M41" i="69" s="1"/>
  <c r="M50" i="69" s="1"/>
  <c r="M51" i="69" s="1"/>
  <c r="L112" i="69"/>
  <c r="L85" i="69"/>
  <c r="L86" i="69" s="1"/>
  <c r="M2" i="69"/>
  <c r="M2" i="70"/>
  <c r="L4" i="69"/>
  <c r="L4" i="70"/>
  <c r="L38" i="61"/>
  <c r="L23" i="61"/>
  <c r="K37" i="61"/>
  <c r="K22" i="61"/>
  <c r="K39" i="61"/>
  <c r="K46" i="61" s="1"/>
  <c r="J46" i="61"/>
  <c r="M2" i="61"/>
  <c r="M2" i="63"/>
  <c r="M2" i="66"/>
  <c r="L4" i="61"/>
  <c r="L4" i="66"/>
  <c r="L4" i="63"/>
  <c r="O5" i="61"/>
  <c r="O5" i="63"/>
  <c r="O5" i="66"/>
  <c r="J25" i="57"/>
  <c r="H25" i="57" s="1"/>
  <c r="H23" i="57"/>
  <c r="L43" i="44"/>
  <c r="L62" i="44"/>
  <c r="L64" i="44" s="1"/>
  <c r="O10" i="44"/>
  <c r="P9" i="44"/>
  <c r="O5" i="57"/>
  <c r="O5" i="28"/>
  <c r="O5" i="44"/>
  <c r="M32" i="44"/>
  <c r="M33" i="44" s="1"/>
  <c r="M57" i="44"/>
  <c r="M58" i="44" s="1"/>
  <c r="M28" i="75" s="1"/>
  <c r="M29" i="75" s="1"/>
  <c r="M34" i="75" s="1"/>
  <c r="M42" i="44"/>
  <c r="M52" i="44"/>
  <c r="M53" i="44" s="1"/>
  <c r="M62" i="44" s="1"/>
  <c r="M64" i="44" s="1"/>
  <c r="M47" i="44"/>
  <c r="M48" i="44" s="1"/>
  <c r="M18" i="75" s="1"/>
  <c r="M2" i="28"/>
  <c r="M2" i="57"/>
  <c r="M23" i="44"/>
  <c r="M25" i="44" s="1"/>
  <c r="M2" i="44"/>
  <c r="L10" i="28"/>
  <c r="L15" i="28" s="1"/>
  <c r="M12" i="28" s="1"/>
  <c r="L4" i="28"/>
  <c r="L4" i="44"/>
  <c r="L4" i="57"/>
  <c r="N14" i="44"/>
  <c r="N15" i="44" s="1"/>
  <c r="N18" i="44" s="1"/>
  <c r="N19" i="44" s="1"/>
  <c r="N24" i="44"/>
  <c r="J46" i="75" l="1"/>
  <c r="J50" i="75"/>
  <c r="J51" i="75" s="1"/>
  <c r="K45" i="75"/>
  <c r="K20" i="75"/>
  <c r="K93" i="74"/>
  <c r="L57" i="75"/>
  <c r="L44" i="75"/>
  <c r="L85" i="74"/>
  <c r="L86" i="74" s="1"/>
  <c r="L90" i="74" s="1"/>
  <c r="L93" i="74" s="1"/>
  <c r="L58" i="74"/>
  <c r="L59" i="74" s="1"/>
  <c r="L91" i="74" s="1"/>
  <c r="L31" i="74"/>
  <c r="L32" i="74" s="1"/>
  <c r="L92" i="74" s="1"/>
  <c r="L3" i="75"/>
  <c r="L3" i="74"/>
  <c r="P5" i="75"/>
  <c r="P5" i="74"/>
  <c r="M3" i="75"/>
  <c r="M3" i="74"/>
  <c r="M4" i="75"/>
  <c r="M4" i="74"/>
  <c r="N2" i="75"/>
  <c r="N43" i="75"/>
  <c r="N2" i="74"/>
  <c r="K59" i="71"/>
  <c r="L38" i="71"/>
  <c r="M35" i="71" s="1"/>
  <c r="L72" i="73"/>
  <c r="L75" i="73" s="1"/>
  <c r="K77" i="73"/>
  <c r="L76" i="73"/>
  <c r="L64" i="73"/>
  <c r="L65" i="73" s="1"/>
  <c r="M58" i="73"/>
  <c r="M63" i="73" s="1"/>
  <c r="N60" i="73" s="1"/>
  <c r="M70" i="73"/>
  <c r="K55" i="72"/>
  <c r="P5" i="73"/>
  <c r="P5" i="70"/>
  <c r="P5" i="72"/>
  <c r="P5" i="71"/>
  <c r="P5" i="69"/>
  <c r="N2" i="73"/>
  <c r="N2" i="72"/>
  <c r="N2" i="71"/>
  <c r="K52" i="71"/>
  <c r="K72" i="71" s="1"/>
  <c r="K73" i="71" s="1"/>
  <c r="L3" i="73"/>
  <c r="L3" i="71"/>
  <c r="L3" i="72"/>
  <c r="M48" i="72"/>
  <c r="M33" i="71"/>
  <c r="M10" i="71"/>
  <c r="H11" i="72"/>
  <c r="H30" i="72"/>
  <c r="M4" i="73"/>
  <c r="M4" i="72"/>
  <c r="M4" i="71"/>
  <c r="L53" i="72"/>
  <c r="L51" i="73"/>
  <c r="L52" i="73" s="1"/>
  <c r="L53" i="73" s="1"/>
  <c r="L54" i="72"/>
  <c r="L74" i="71"/>
  <c r="L61" i="71"/>
  <c r="L130" i="69"/>
  <c r="L138" i="69"/>
  <c r="L12" i="71"/>
  <c r="K58" i="71"/>
  <c r="K60" i="71" s="1"/>
  <c r="K62" i="71" s="1"/>
  <c r="M3" i="73"/>
  <c r="M3" i="71"/>
  <c r="M3" i="72"/>
  <c r="K131" i="69"/>
  <c r="L114" i="69"/>
  <c r="K136" i="69"/>
  <c r="L58" i="69"/>
  <c r="L61" i="69" s="1"/>
  <c r="K135" i="69"/>
  <c r="M106" i="69"/>
  <c r="M107" i="69" s="1"/>
  <c r="M52" i="69"/>
  <c r="M127" i="69" s="1"/>
  <c r="M60" i="69"/>
  <c r="M29" i="69"/>
  <c r="M30" i="69" s="1"/>
  <c r="M39" i="69"/>
  <c r="M44" i="69" s="1"/>
  <c r="N41" i="69" s="1"/>
  <c r="N50" i="69" s="1"/>
  <c r="N51" i="69" s="1"/>
  <c r="M112" i="69"/>
  <c r="M56" i="69"/>
  <c r="M95" i="69"/>
  <c r="M100" i="69" s="1"/>
  <c r="N97" i="69" s="1"/>
  <c r="M85" i="69"/>
  <c r="M86" i="69" s="1"/>
  <c r="L108" i="69"/>
  <c r="L128" i="69" s="1"/>
  <c r="L129" i="69" s="1"/>
  <c r="L131" i="69" s="1"/>
  <c r="L116" i="69"/>
  <c r="L3" i="70"/>
  <c r="L3" i="69"/>
  <c r="N2" i="70"/>
  <c r="N2" i="69"/>
  <c r="M4" i="69"/>
  <c r="M4" i="70"/>
  <c r="M3" i="70"/>
  <c r="M3" i="69"/>
  <c r="M3" i="61"/>
  <c r="M3" i="66"/>
  <c r="M3" i="63"/>
  <c r="L3" i="61"/>
  <c r="L3" i="66"/>
  <c r="L3" i="63"/>
  <c r="P5" i="61"/>
  <c r="P5" i="63"/>
  <c r="P5" i="66"/>
  <c r="L63" i="44"/>
  <c r="L37" i="61"/>
  <c r="L39" i="61" s="1"/>
  <c r="L22" i="61"/>
  <c r="N2" i="61"/>
  <c r="N2" i="63"/>
  <c r="N2" i="66"/>
  <c r="M4" i="61"/>
  <c r="M4" i="66"/>
  <c r="M4" i="63"/>
  <c r="M38" i="61"/>
  <c r="M23" i="61"/>
  <c r="M43" i="44"/>
  <c r="M4" i="57"/>
  <c r="M4" i="44"/>
  <c r="M4" i="28"/>
  <c r="M3" i="28"/>
  <c r="M3" i="44"/>
  <c r="M3" i="57"/>
  <c r="M10" i="28"/>
  <c r="M15" i="28" s="1"/>
  <c r="N12" i="28" s="1"/>
  <c r="N2" i="57"/>
  <c r="N47" i="44"/>
  <c r="N48" i="44" s="1"/>
  <c r="N18" i="75" s="1"/>
  <c r="N32" i="44"/>
  <c r="N33" i="44" s="1"/>
  <c r="N52" i="44"/>
  <c r="N53" i="44" s="1"/>
  <c r="N62" i="44" s="1"/>
  <c r="N64" i="44" s="1"/>
  <c r="N57" i="44"/>
  <c r="N58" i="44" s="1"/>
  <c r="N28" i="75" s="1"/>
  <c r="N29" i="75" s="1"/>
  <c r="N34" i="75" s="1"/>
  <c r="N23" i="44"/>
  <c r="N25" i="44" s="1"/>
  <c r="N2" i="44"/>
  <c r="N42" i="44"/>
  <c r="N2" i="28"/>
  <c r="O14" i="44"/>
  <c r="O15" i="44" s="1"/>
  <c r="O18" i="44" s="1"/>
  <c r="O19" i="44" s="1"/>
  <c r="O24" i="44"/>
  <c r="P5" i="44"/>
  <c r="Q9" i="44"/>
  <c r="P5" i="57"/>
  <c r="P5" i="28"/>
  <c r="P10" i="44"/>
  <c r="L3" i="28"/>
  <c r="L3" i="57"/>
  <c r="L3" i="44"/>
  <c r="J56" i="75" l="1"/>
  <c r="J58" i="75" s="1"/>
  <c r="J62" i="75" s="1"/>
  <c r="J17" i="75"/>
  <c r="K46" i="75"/>
  <c r="K50" i="75"/>
  <c r="K51" i="75" s="1"/>
  <c r="L45" i="75"/>
  <c r="L20" i="75"/>
  <c r="L21" i="75" s="1"/>
  <c r="M57" i="75"/>
  <c r="M44" i="75"/>
  <c r="M58" i="74"/>
  <c r="M59" i="74" s="1"/>
  <c r="M91" i="74" s="1"/>
  <c r="M31" i="74"/>
  <c r="M32" i="74" s="1"/>
  <c r="M92" i="74" s="1"/>
  <c r="M85" i="74"/>
  <c r="M86" i="74" s="1"/>
  <c r="M90" i="74" s="1"/>
  <c r="M93" i="74" s="1"/>
  <c r="N3" i="75"/>
  <c r="N3" i="74"/>
  <c r="N4" i="75"/>
  <c r="N4" i="74"/>
  <c r="O43" i="75"/>
  <c r="O2" i="75"/>
  <c r="O2" i="74"/>
  <c r="Q5" i="75"/>
  <c r="Q5" i="74"/>
  <c r="L59" i="71"/>
  <c r="L117" i="69"/>
  <c r="M76" i="73"/>
  <c r="M64" i="73"/>
  <c r="M65" i="73" s="1"/>
  <c r="N58" i="73"/>
  <c r="N63" i="73" s="1"/>
  <c r="O60" i="73" s="1"/>
  <c r="N70" i="73"/>
  <c r="M72" i="73"/>
  <c r="M75" i="73" s="1"/>
  <c r="L77" i="73"/>
  <c r="K75" i="71"/>
  <c r="Q5" i="73"/>
  <c r="Q5" i="71"/>
  <c r="Q5" i="72"/>
  <c r="Q5" i="69"/>
  <c r="Q5" i="70"/>
  <c r="O2" i="73"/>
  <c r="O2" i="72"/>
  <c r="O2" i="71"/>
  <c r="M63" i="44"/>
  <c r="M51" i="73"/>
  <c r="M52" i="73" s="1"/>
  <c r="M53" i="73" s="1"/>
  <c r="M54" i="72"/>
  <c r="M74" i="71"/>
  <c r="M138" i="69"/>
  <c r="M130" i="69"/>
  <c r="M61" i="71"/>
  <c r="L55" i="72"/>
  <c r="M50" i="72"/>
  <c r="M53" i="72" s="1"/>
  <c r="N4" i="73"/>
  <c r="N4" i="72"/>
  <c r="N4" i="71"/>
  <c r="L15" i="71"/>
  <c r="L26" i="71"/>
  <c r="L27" i="71" s="1"/>
  <c r="N48" i="72"/>
  <c r="N33" i="71"/>
  <c r="N10" i="71"/>
  <c r="M38" i="71"/>
  <c r="M50" i="71"/>
  <c r="N3" i="73"/>
  <c r="N3" i="71"/>
  <c r="N3" i="72"/>
  <c r="K137" i="69"/>
  <c r="K139" i="69" s="1"/>
  <c r="M58" i="69"/>
  <c r="M61" i="69" s="1"/>
  <c r="L135" i="69"/>
  <c r="M114" i="69"/>
  <c r="L136" i="69"/>
  <c r="N106" i="69"/>
  <c r="N107" i="69" s="1"/>
  <c r="N29" i="69"/>
  <c r="N30" i="69" s="1"/>
  <c r="N39" i="69"/>
  <c r="N44" i="69" s="1"/>
  <c r="O41" i="69" s="1"/>
  <c r="O50" i="69" s="1"/>
  <c r="O51" i="69" s="1"/>
  <c r="N112" i="69"/>
  <c r="N85" i="69"/>
  <c r="N86" i="69" s="1"/>
  <c r="N95" i="69"/>
  <c r="N100" i="69" s="1"/>
  <c r="O97" i="69" s="1"/>
  <c r="O106" i="69" s="1"/>
  <c r="O107" i="69" s="1"/>
  <c r="N56" i="69"/>
  <c r="M108" i="69"/>
  <c r="M128" i="69" s="1"/>
  <c r="M129" i="69" s="1"/>
  <c r="M116" i="69"/>
  <c r="N52" i="69"/>
  <c r="N127" i="69" s="1"/>
  <c r="N60" i="69"/>
  <c r="N4" i="69"/>
  <c r="N4" i="70"/>
  <c r="N3" i="69"/>
  <c r="N3" i="70"/>
  <c r="O2" i="70"/>
  <c r="O2" i="69"/>
  <c r="L46" i="61"/>
  <c r="Q5" i="61"/>
  <c r="Q5" i="63"/>
  <c r="Q5" i="66"/>
  <c r="N3" i="61"/>
  <c r="N3" i="66"/>
  <c r="N3" i="63"/>
  <c r="N4" i="61"/>
  <c r="N4" i="66"/>
  <c r="N4" i="63"/>
  <c r="O2" i="61"/>
  <c r="O2" i="66"/>
  <c r="O2" i="63"/>
  <c r="M37" i="61"/>
  <c r="M39" i="61" s="1"/>
  <c r="M22" i="61"/>
  <c r="N38" i="61"/>
  <c r="N23" i="61"/>
  <c r="N43" i="44"/>
  <c r="P14" i="44"/>
  <c r="P15" i="44" s="1"/>
  <c r="P18" i="44" s="1"/>
  <c r="P19" i="44" s="1"/>
  <c r="P24" i="44"/>
  <c r="N3" i="44"/>
  <c r="N3" i="57"/>
  <c r="N3" i="28"/>
  <c r="N4" i="28"/>
  <c r="N4" i="44"/>
  <c r="N4" i="57"/>
  <c r="Q5" i="44"/>
  <c r="Q5" i="57"/>
  <c r="Q5" i="28"/>
  <c r="Q10" i="44"/>
  <c r="R9" i="44"/>
  <c r="O52" i="44"/>
  <c r="O53" i="44" s="1"/>
  <c r="O62" i="44" s="1"/>
  <c r="O42" i="44"/>
  <c r="O57" i="44"/>
  <c r="O58" i="44" s="1"/>
  <c r="O28" i="75" s="1"/>
  <c r="O29" i="75" s="1"/>
  <c r="O34" i="75" s="1"/>
  <c r="O2" i="57"/>
  <c r="O47" i="44"/>
  <c r="O48" i="44" s="1"/>
  <c r="O18" i="75" s="1"/>
  <c r="O2" i="28"/>
  <c r="O32" i="44"/>
  <c r="O33" i="44" s="1"/>
  <c r="O23" i="44"/>
  <c r="O25" i="44" s="1"/>
  <c r="O2" i="44"/>
  <c r="N10" i="28"/>
  <c r="N15" i="28" s="1"/>
  <c r="O12" i="28" s="1"/>
  <c r="K17" i="75" l="1"/>
  <c r="K56" i="75"/>
  <c r="K58" i="75" s="1"/>
  <c r="K62" i="75" s="1"/>
  <c r="L46" i="75"/>
  <c r="L50" i="75"/>
  <c r="L51" i="75" s="1"/>
  <c r="L33" i="75"/>
  <c r="L35" i="75" s="1"/>
  <c r="L63" i="75" s="1"/>
  <c r="L27" i="75"/>
  <c r="M45" i="75"/>
  <c r="M20" i="75"/>
  <c r="M21" i="75" s="1"/>
  <c r="N63" i="44"/>
  <c r="N57" i="75"/>
  <c r="N44" i="75"/>
  <c r="N58" i="74"/>
  <c r="N59" i="74" s="1"/>
  <c r="N91" i="74" s="1"/>
  <c r="N85" i="74"/>
  <c r="N86" i="74" s="1"/>
  <c r="N90" i="74" s="1"/>
  <c r="N93" i="74" s="1"/>
  <c r="N31" i="74"/>
  <c r="N32" i="74" s="1"/>
  <c r="N92" i="74" s="1"/>
  <c r="P2" i="75"/>
  <c r="P43" i="75"/>
  <c r="P2" i="74"/>
  <c r="R5" i="75"/>
  <c r="R5" i="74"/>
  <c r="O4" i="75"/>
  <c r="O4" i="74"/>
  <c r="N64" i="73"/>
  <c r="N65" i="73" s="1"/>
  <c r="N76" i="73"/>
  <c r="N72" i="73"/>
  <c r="N75" i="73" s="1"/>
  <c r="M77" i="73"/>
  <c r="O58" i="73"/>
  <c r="O63" i="73" s="1"/>
  <c r="P60" i="73" s="1"/>
  <c r="O70" i="73"/>
  <c r="O75" i="73" s="1"/>
  <c r="O4" i="73"/>
  <c r="O4" i="72"/>
  <c r="O4" i="71"/>
  <c r="L28" i="71"/>
  <c r="L71" i="71" s="1"/>
  <c r="L73" i="71" s="1"/>
  <c r="M12" i="71"/>
  <c r="L58" i="71"/>
  <c r="L60" i="71" s="1"/>
  <c r="L62" i="71" s="1"/>
  <c r="N54" i="72"/>
  <c r="N51" i="73"/>
  <c r="N52" i="73" s="1"/>
  <c r="N53" i="73" s="1"/>
  <c r="N138" i="69"/>
  <c r="N130" i="69"/>
  <c r="N74" i="71"/>
  <c r="N61" i="71"/>
  <c r="M55" i="72"/>
  <c r="N50" i="72"/>
  <c r="N53" i="72" s="1"/>
  <c r="N35" i="71"/>
  <c r="N50" i="71" s="1"/>
  <c r="N51" i="71" s="1"/>
  <c r="N52" i="71" s="1"/>
  <c r="N72" i="71" s="1"/>
  <c r="M59" i="71"/>
  <c r="O48" i="72"/>
  <c r="O53" i="72" s="1"/>
  <c r="O33" i="71"/>
  <c r="O38" i="71" s="1"/>
  <c r="O10" i="71"/>
  <c r="O15" i="71" s="1"/>
  <c r="P2" i="73"/>
  <c r="P2" i="71"/>
  <c r="P2" i="72"/>
  <c r="R5" i="73"/>
  <c r="R5" i="71"/>
  <c r="R5" i="72"/>
  <c r="R5" i="69"/>
  <c r="R5" i="70"/>
  <c r="M51" i="71"/>
  <c r="M131" i="69"/>
  <c r="N58" i="69"/>
  <c r="N61" i="69" s="1"/>
  <c r="M135" i="69"/>
  <c r="L137" i="69"/>
  <c r="L139" i="69" s="1"/>
  <c r="M117" i="69"/>
  <c r="O108" i="69"/>
  <c r="O128" i="69" s="1"/>
  <c r="O116" i="69"/>
  <c r="O60" i="69"/>
  <c r="O52" i="69"/>
  <c r="O127" i="69" s="1"/>
  <c r="N108" i="69"/>
  <c r="N128" i="69" s="1"/>
  <c r="N129" i="69" s="1"/>
  <c r="N116" i="69"/>
  <c r="O29" i="69"/>
  <c r="O30" i="69" s="1"/>
  <c r="O39" i="69"/>
  <c r="O44" i="69" s="1"/>
  <c r="P41" i="69" s="1"/>
  <c r="P50" i="69" s="1"/>
  <c r="P51" i="69" s="1"/>
  <c r="O112" i="69"/>
  <c r="O117" i="69" s="1"/>
  <c r="O85" i="69"/>
  <c r="O86" i="69" s="1"/>
  <c r="O56" i="69"/>
  <c r="O61" i="69" s="1"/>
  <c r="O135" i="69" s="1"/>
  <c r="O95" i="69"/>
  <c r="O100" i="69" s="1"/>
  <c r="O4" i="69"/>
  <c r="O4" i="70"/>
  <c r="P2" i="70"/>
  <c r="P2" i="69"/>
  <c r="M46" i="61"/>
  <c r="O4" i="61"/>
  <c r="O4" i="66"/>
  <c r="O4" i="63"/>
  <c r="O38" i="61"/>
  <c r="O23" i="61"/>
  <c r="P2" i="61"/>
  <c r="P2" i="63"/>
  <c r="P2" i="66"/>
  <c r="N37" i="61"/>
  <c r="N39" i="61" s="1"/>
  <c r="N22" i="61"/>
  <c r="R5" i="61"/>
  <c r="R5" i="66"/>
  <c r="R5" i="63"/>
  <c r="O43" i="44"/>
  <c r="O4" i="44"/>
  <c r="O4" i="28"/>
  <c r="O4" i="57"/>
  <c r="O10" i="28"/>
  <c r="O15" i="28" s="1"/>
  <c r="P12" i="28" s="1"/>
  <c r="P2" i="44"/>
  <c r="P57" i="44"/>
  <c r="P58" i="44" s="1"/>
  <c r="P28" i="75" s="1"/>
  <c r="P29" i="75" s="1"/>
  <c r="P34" i="75" s="1"/>
  <c r="P2" i="28"/>
  <c r="P23" i="44"/>
  <c r="P25" i="44" s="1"/>
  <c r="P52" i="44"/>
  <c r="P53" i="44" s="1"/>
  <c r="P62" i="44" s="1"/>
  <c r="P32" i="44"/>
  <c r="P33" i="44" s="1"/>
  <c r="P42" i="44"/>
  <c r="P2" i="57"/>
  <c r="P47" i="44"/>
  <c r="P48" i="44" s="1"/>
  <c r="P18" i="75" s="1"/>
  <c r="S9" i="44"/>
  <c r="R5" i="28"/>
  <c r="R5" i="57"/>
  <c r="R5" i="44"/>
  <c r="R10" i="44"/>
  <c r="Q24" i="44"/>
  <c r="Q14" i="44"/>
  <c r="Q15" i="44" s="1"/>
  <c r="Q18" i="44" s="1"/>
  <c r="Q19" i="44" s="1"/>
  <c r="L17" i="75" l="1"/>
  <c r="L56" i="75"/>
  <c r="L58" i="75" s="1"/>
  <c r="L62" i="75" s="1"/>
  <c r="M46" i="75"/>
  <c r="M50" i="75"/>
  <c r="M51" i="75" s="1"/>
  <c r="M33" i="75"/>
  <c r="M35" i="75" s="1"/>
  <c r="M63" i="75" s="1"/>
  <c r="M27" i="75"/>
  <c r="N45" i="75"/>
  <c r="N20" i="75"/>
  <c r="N21" i="75" s="1"/>
  <c r="O44" i="75"/>
  <c r="O57" i="75"/>
  <c r="O85" i="74"/>
  <c r="O86" i="74" s="1"/>
  <c r="O90" i="74" s="1"/>
  <c r="O58" i="74"/>
  <c r="O59" i="74" s="1"/>
  <c r="O91" i="74" s="1"/>
  <c r="O31" i="74"/>
  <c r="O32" i="74" s="1"/>
  <c r="O92" i="74" s="1"/>
  <c r="P4" i="75"/>
  <c r="P4" i="74"/>
  <c r="S5" i="75"/>
  <c r="S5" i="74"/>
  <c r="Q43" i="75"/>
  <c r="Q2" i="75"/>
  <c r="Q2" i="74"/>
  <c r="N38" i="71"/>
  <c r="O35" i="71" s="1"/>
  <c r="O50" i="71" s="1"/>
  <c r="P72" i="73"/>
  <c r="P58" i="73"/>
  <c r="P63" i="73" s="1"/>
  <c r="Q60" i="73" s="1"/>
  <c r="P70" i="73"/>
  <c r="O72" i="73"/>
  <c r="N77" i="73"/>
  <c r="O64" i="73"/>
  <c r="O65" i="73" s="1"/>
  <c r="O76" i="73"/>
  <c r="O77" i="73" s="1"/>
  <c r="O129" i="69"/>
  <c r="O54" i="72"/>
  <c r="O55" i="72" s="1"/>
  <c r="O51" i="73"/>
  <c r="O52" i="73" s="1"/>
  <c r="O53" i="73" s="1"/>
  <c r="O61" i="71"/>
  <c r="O138" i="69"/>
  <c r="O130" i="69"/>
  <c r="O74" i="71"/>
  <c r="M26" i="71"/>
  <c r="M27" i="71" s="1"/>
  <c r="M15" i="71"/>
  <c r="P35" i="71"/>
  <c r="P50" i="71" s="1"/>
  <c r="P51" i="71" s="1"/>
  <c r="P52" i="71" s="1"/>
  <c r="P72" i="71" s="1"/>
  <c r="O59" i="71"/>
  <c r="P4" i="73"/>
  <c r="P4" i="72"/>
  <c r="P4" i="71"/>
  <c r="P50" i="72"/>
  <c r="L75" i="71"/>
  <c r="Q2" i="73"/>
  <c r="Q2" i="71"/>
  <c r="Q2" i="72"/>
  <c r="O63" i="44"/>
  <c r="O64" i="44" s="1"/>
  <c r="M52" i="71"/>
  <c r="M72" i="71" s="1"/>
  <c r="S5" i="73"/>
  <c r="S5" i="71"/>
  <c r="S5" i="72"/>
  <c r="S5" i="69"/>
  <c r="S5" i="70"/>
  <c r="P48" i="72"/>
  <c r="P33" i="71"/>
  <c r="P10" i="71"/>
  <c r="N55" i="72"/>
  <c r="O50" i="72"/>
  <c r="P12" i="71"/>
  <c r="P26" i="71" s="1"/>
  <c r="P27" i="71" s="1"/>
  <c r="P28" i="71" s="1"/>
  <c r="P71" i="71" s="1"/>
  <c r="O58" i="71"/>
  <c r="N131" i="69"/>
  <c r="O58" i="69"/>
  <c r="N135" i="69"/>
  <c r="N114" i="69"/>
  <c r="N117" i="69" s="1"/>
  <c r="M136" i="69"/>
  <c r="M137" i="69" s="1"/>
  <c r="M139" i="69" s="1"/>
  <c r="P114" i="69"/>
  <c r="O136" i="69"/>
  <c r="O137" i="69" s="1"/>
  <c r="P97" i="69"/>
  <c r="P106" i="69" s="1"/>
  <c r="P107" i="69" s="1"/>
  <c r="P60" i="69"/>
  <c r="P52" i="69"/>
  <c r="P127" i="69" s="1"/>
  <c r="P58" i="69"/>
  <c r="P29" i="69"/>
  <c r="P30" i="69" s="1"/>
  <c r="P39" i="69"/>
  <c r="P44" i="69" s="1"/>
  <c r="Q41" i="69" s="1"/>
  <c r="Q50" i="69" s="1"/>
  <c r="Q51" i="69" s="1"/>
  <c r="P85" i="69"/>
  <c r="P86" i="69" s="1"/>
  <c r="P112" i="69"/>
  <c r="P56" i="69"/>
  <c r="P95" i="69"/>
  <c r="Q2" i="70"/>
  <c r="Q2" i="69"/>
  <c r="P4" i="69"/>
  <c r="P4" i="70"/>
  <c r="N46" i="61"/>
  <c r="P4" i="61"/>
  <c r="P4" i="63"/>
  <c r="P4" i="66"/>
  <c r="Q2" i="61"/>
  <c r="Q2" i="66"/>
  <c r="Q2" i="63"/>
  <c r="O37" i="61"/>
  <c r="O39" i="61" s="1"/>
  <c r="O22" i="61"/>
  <c r="S5" i="61"/>
  <c r="S5" i="66"/>
  <c r="S5" i="63"/>
  <c r="P38" i="61"/>
  <c r="P23" i="61"/>
  <c r="P43" i="44"/>
  <c r="P4" i="57"/>
  <c r="P4" i="28"/>
  <c r="P4" i="44"/>
  <c r="S10" i="44"/>
  <c r="S5" i="28"/>
  <c r="S5" i="44"/>
  <c r="T9" i="44"/>
  <c r="S5" i="57"/>
  <c r="P10" i="28"/>
  <c r="P15" i="28" s="1"/>
  <c r="Q12" i="28" s="1"/>
  <c r="R14" i="44"/>
  <c r="R15" i="44" s="1"/>
  <c r="R18" i="44" s="1"/>
  <c r="R19" i="44" s="1"/>
  <c r="R24" i="44"/>
  <c r="Q2" i="28"/>
  <c r="Q2" i="57"/>
  <c r="Q42" i="44"/>
  <c r="Q52" i="44"/>
  <c r="Q53" i="44" s="1"/>
  <c r="Q62" i="44" s="1"/>
  <c r="Q32" i="44"/>
  <c r="Q33" i="44" s="1"/>
  <c r="Q23" i="44"/>
  <c r="Q25" i="44" s="1"/>
  <c r="Q2" i="44"/>
  <c r="Q47" i="44"/>
  <c r="Q48" i="44" s="1"/>
  <c r="Q18" i="75" s="1"/>
  <c r="Q57" i="44"/>
  <c r="Q58" i="44" s="1"/>
  <c r="Q28" i="75" s="1"/>
  <c r="Q29" i="75" s="1"/>
  <c r="Q34" i="75" s="1"/>
  <c r="M17" i="75" l="1"/>
  <c r="M56" i="75"/>
  <c r="M58" i="75" s="1"/>
  <c r="M62" i="75" s="1"/>
  <c r="N50" i="75"/>
  <c r="N51" i="75" s="1"/>
  <c r="N46" i="75"/>
  <c r="N33" i="75"/>
  <c r="N35" i="75" s="1"/>
  <c r="N63" i="75" s="1"/>
  <c r="N27" i="75"/>
  <c r="O45" i="75"/>
  <c r="O20" i="75"/>
  <c r="O21" i="75" s="1"/>
  <c r="O93" i="74"/>
  <c r="O60" i="71"/>
  <c r="O3" i="69"/>
  <c r="O3" i="75"/>
  <c r="O3" i="74"/>
  <c r="P57" i="75"/>
  <c r="P44" i="75"/>
  <c r="P58" i="74"/>
  <c r="P31" i="74"/>
  <c r="P85" i="74"/>
  <c r="T5" i="75"/>
  <c r="T5" i="74"/>
  <c r="R2" i="75"/>
  <c r="R43" i="75"/>
  <c r="R2" i="74"/>
  <c r="Q4" i="75"/>
  <c r="Q4" i="74"/>
  <c r="N59" i="71"/>
  <c r="O3" i="57"/>
  <c r="Q70" i="73"/>
  <c r="Q58" i="73"/>
  <c r="Q63" i="73" s="1"/>
  <c r="R60" i="73" s="1"/>
  <c r="O3" i="44"/>
  <c r="O3" i="28"/>
  <c r="O139" i="69"/>
  <c r="P64" i="73"/>
  <c r="P65" i="73" s="1"/>
  <c r="P46" i="66" s="1"/>
  <c r="P76" i="73"/>
  <c r="O3" i="61"/>
  <c r="O3" i="63"/>
  <c r="P54" i="72"/>
  <c r="P51" i="73"/>
  <c r="P61" i="71"/>
  <c r="P138" i="69"/>
  <c r="P130" i="69"/>
  <c r="P74" i="71"/>
  <c r="N12" i="71"/>
  <c r="M58" i="71"/>
  <c r="M60" i="71" s="1"/>
  <c r="M62" i="71" s="1"/>
  <c r="M28" i="71"/>
  <c r="M71" i="71" s="1"/>
  <c r="M73" i="71" s="1"/>
  <c r="O3" i="73"/>
  <c r="O3" i="71"/>
  <c r="O3" i="72"/>
  <c r="R2" i="73"/>
  <c r="R2" i="71"/>
  <c r="R2" i="72"/>
  <c r="O51" i="71"/>
  <c r="O62" i="71"/>
  <c r="P73" i="71"/>
  <c r="O3" i="70"/>
  <c r="P15" i="71"/>
  <c r="O3" i="66"/>
  <c r="T5" i="73"/>
  <c r="T5" i="71"/>
  <c r="T5" i="72"/>
  <c r="T5" i="69"/>
  <c r="T5" i="70"/>
  <c r="P38" i="71"/>
  <c r="Q48" i="72"/>
  <c r="Q33" i="71"/>
  <c r="Q10" i="71"/>
  <c r="Q4" i="73"/>
  <c r="Q4" i="72"/>
  <c r="Q4" i="71"/>
  <c r="O131" i="69"/>
  <c r="O114" i="69"/>
  <c r="N136" i="69"/>
  <c r="N137" i="69" s="1"/>
  <c r="N139" i="69" s="1"/>
  <c r="P100" i="69"/>
  <c r="Q97" i="69" s="1"/>
  <c r="Q106" i="69" s="1"/>
  <c r="Q107" i="69" s="1"/>
  <c r="Q60" i="69"/>
  <c r="Q52" i="69"/>
  <c r="Q127" i="69" s="1"/>
  <c r="P61" i="69"/>
  <c r="P116" i="69"/>
  <c r="P117" i="69" s="1"/>
  <c r="P108" i="69"/>
  <c r="P128" i="69" s="1"/>
  <c r="P129" i="69" s="1"/>
  <c r="Q39" i="69"/>
  <c r="Q44" i="69" s="1"/>
  <c r="R41" i="69" s="1"/>
  <c r="R50" i="69" s="1"/>
  <c r="R51" i="69" s="1"/>
  <c r="Q112" i="69"/>
  <c r="Q85" i="69"/>
  <c r="Q86" i="69" s="1"/>
  <c r="Q56" i="69"/>
  <c r="Q95" i="69"/>
  <c r="Q29" i="69"/>
  <c r="Q30" i="69" s="1"/>
  <c r="R2" i="70"/>
  <c r="R2" i="69"/>
  <c r="Q4" i="70"/>
  <c r="Q4" i="69"/>
  <c r="O46" i="61"/>
  <c r="Q4" i="61"/>
  <c r="Q4" i="63"/>
  <c r="Q4" i="66"/>
  <c r="T5" i="61"/>
  <c r="T5" i="66"/>
  <c r="T5" i="63"/>
  <c r="Q38" i="61"/>
  <c r="Q23" i="61"/>
  <c r="P37" i="61"/>
  <c r="P39" i="61" s="1"/>
  <c r="P22" i="61"/>
  <c r="R2" i="61"/>
  <c r="R2" i="66"/>
  <c r="R2" i="63"/>
  <c r="P63" i="44"/>
  <c r="P64" i="44" s="1"/>
  <c r="Q43" i="44"/>
  <c r="Q4" i="28"/>
  <c r="Q4" i="57"/>
  <c r="Q4" i="44"/>
  <c r="T5" i="28"/>
  <c r="T5" i="44"/>
  <c r="T5" i="57"/>
  <c r="U9" i="44"/>
  <c r="T10" i="44"/>
  <c r="R52" i="44"/>
  <c r="R53" i="44" s="1"/>
  <c r="R62" i="44" s="1"/>
  <c r="R2" i="28"/>
  <c r="R47" i="44"/>
  <c r="R48" i="44" s="1"/>
  <c r="R18" i="75" s="1"/>
  <c r="R32" i="44"/>
  <c r="R33" i="44" s="1"/>
  <c r="R2" i="44"/>
  <c r="R23" i="44"/>
  <c r="R25" i="44" s="1"/>
  <c r="R57" i="44"/>
  <c r="R58" i="44" s="1"/>
  <c r="R28" i="75" s="1"/>
  <c r="R29" i="75" s="1"/>
  <c r="R34" i="75" s="1"/>
  <c r="R42" i="44"/>
  <c r="R2" i="57"/>
  <c r="Q10" i="28"/>
  <c r="Q15" i="28" s="1"/>
  <c r="R12" i="28" s="1"/>
  <c r="S14" i="44"/>
  <c r="S15" i="44" s="1"/>
  <c r="S18" i="44" s="1"/>
  <c r="S19" i="44" s="1"/>
  <c r="S24" i="44"/>
  <c r="N17" i="75" l="1"/>
  <c r="N56" i="75"/>
  <c r="N58" i="75" s="1"/>
  <c r="N62" i="75" s="1"/>
  <c r="O46" i="75"/>
  <c r="O50" i="75"/>
  <c r="O51" i="75" s="1"/>
  <c r="O33" i="75"/>
  <c r="O35" i="75" s="1"/>
  <c r="O63" i="75" s="1"/>
  <c r="O27" i="75"/>
  <c r="P45" i="75"/>
  <c r="P20" i="75"/>
  <c r="P3" i="75"/>
  <c r="P3" i="74"/>
  <c r="Q44" i="75"/>
  <c r="Q57" i="75"/>
  <c r="Q58" i="74"/>
  <c r="Q31" i="74"/>
  <c r="Q85" i="74"/>
  <c r="U5" i="75"/>
  <c r="U5" i="74"/>
  <c r="R4" i="75"/>
  <c r="R4" i="74"/>
  <c r="S2" i="75"/>
  <c r="S43" i="75"/>
  <c r="S2" i="74"/>
  <c r="Q76" i="73"/>
  <c r="Q64" i="73"/>
  <c r="Q65" i="73" s="1"/>
  <c r="Q46" i="66" s="1"/>
  <c r="R70" i="73"/>
  <c r="R58" i="73"/>
  <c r="R63" i="73" s="1"/>
  <c r="P75" i="71"/>
  <c r="P22" i="66" s="1"/>
  <c r="Q35" i="71"/>
  <c r="Q50" i="71" s="1"/>
  <c r="P59" i="71"/>
  <c r="R48" i="72"/>
  <c r="R33" i="71"/>
  <c r="R10" i="71"/>
  <c r="M75" i="71"/>
  <c r="N26" i="71"/>
  <c r="N27" i="71" s="1"/>
  <c r="N15" i="71"/>
  <c r="R4" i="73"/>
  <c r="R4" i="72"/>
  <c r="R4" i="71"/>
  <c r="U5" i="73"/>
  <c r="U5" i="71"/>
  <c r="U5" i="70"/>
  <c r="U5" i="72"/>
  <c r="U5" i="69"/>
  <c r="Q100" i="69"/>
  <c r="R97" i="69" s="1"/>
  <c r="R106" i="69" s="1"/>
  <c r="R107" i="69" s="1"/>
  <c r="O52" i="71"/>
  <c r="O72" i="71" s="1"/>
  <c r="Q12" i="71"/>
  <c r="Q26" i="71" s="1"/>
  <c r="Q27" i="71" s="1"/>
  <c r="Q28" i="71" s="1"/>
  <c r="Q71" i="71" s="1"/>
  <c r="P58" i="71"/>
  <c r="S2" i="73"/>
  <c r="S2" i="71"/>
  <c r="S2" i="72"/>
  <c r="P131" i="69"/>
  <c r="P20" i="66" s="1"/>
  <c r="Q63" i="44"/>
  <c r="Q64" i="44" s="1"/>
  <c r="Q54" i="72"/>
  <c r="Q51" i="73"/>
  <c r="Q61" i="71"/>
  <c r="Q130" i="69"/>
  <c r="Q74" i="71"/>
  <c r="Q138" i="69"/>
  <c r="P3" i="73"/>
  <c r="P3" i="71"/>
  <c r="P3" i="72"/>
  <c r="Q58" i="69"/>
  <c r="Q61" i="69" s="1"/>
  <c r="P135" i="69"/>
  <c r="Q114" i="69"/>
  <c r="P136" i="69"/>
  <c r="R39" i="69"/>
  <c r="R44" i="69" s="1"/>
  <c r="S41" i="69" s="1"/>
  <c r="S50" i="69" s="1"/>
  <c r="S51" i="69" s="1"/>
  <c r="R112" i="69"/>
  <c r="R85" i="69"/>
  <c r="R86" i="69" s="1"/>
  <c r="R56" i="69"/>
  <c r="R95" i="69"/>
  <c r="R29" i="69"/>
  <c r="R30" i="69" s="1"/>
  <c r="R52" i="69"/>
  <c r="R127" i="69" s="1"/>
  <c r="R60" i="69"/>
  <c r="Q116" i="69"/>
  <c r="Q108" i="69"/>
  <c r="Q128" i="69" s="1"/>
  <c r="Q129" i="69" s="1"/>
  <c r="Q131" i="69" s="1"/>
  <c r="Q20" i="66" s="1"/>
  <c r="R4" i="70"/>
  <c r="R4" i="69"/>
  <c r="P3" i="69"/>
  <c r="P3" i="70"/>
  <c r="P3" i="28"/>
  <c r="P3" i="57"/>
  <c r="S2" i="69"/>
  <c r="S2" i="70"/>
  <c r="P10" i="66"/>
  <c r="P46" i="61"/>
  <c r="Q37" i="61"/>
  <c r="Q39" i="61" s="1"/>
  <c r="Q22" i="61"/>
  <c r="S2" i="61"/>
  <c r="S2" i="66"/>
  <c r="S2" i="63"/>
  <c r="P3" i="61"/>
  <c r="P3" i="66"/>
  <c r="P3" i="63"/>
  <c r="R38" i="61"/>
  <c r="R23" i="61"/>
  <c r="R4" i="61"/>
  <c r="R4" i="63"/>
  <c r="R4" i="66"/>
  <c r="P3" i="44"/>
  <c r="U5" i="61"/>
  <c r="U5" i="66"/>
  <c r="U5" i="63"/>
  <c r="R43" i="44"/>
  <c r="R4" i="57"/>
  <c r="R4" i="28"/>
  <c r="R4" i="44"/>
  <c r="U5" i="44"/>
  <c r="U10" i="44"/>
  <c r="U5" i="57"/>
  <c r="V9" i="44"/>
  <c r="U5" i="28"/>
  <c r="S52" i="44"/>
  <c r="S53" i="44" s="1"/>
  <c r="S62" i="44" s="1"/>
  <c r="S42" i="44"/>
  <c r="S57" i="44"/>
  <c r="S58" i="44" s="1"/>
  <c r="S28" i="75" s="1"/>
  <c r="S29" i="75" s="1"/>
  <c r="S34" i="75" s="1"/>
  <c r="S2" i="44"/>
  <c r="S47" i="44"/>
  <c r="S48" i="44" s="1"/>
  <c r="S18" i="75" s="1"/>
  <c r="S32" i="44"/>
  <c r="S33" i="44" s="1"/>
  <c r="S2" i="57"/>
  <c r="S2" i="28"/>
  <c r="S23" i="44"/>
  <c r="S25" i="44" s="1"/>
  <c r="R10" i="28"/>
  <c r="R15" i="28" s="1"/>
  <c r="S12" i="28" s="1"/>
  <c r="T14" i="44"/>
  <c r="T15" i="44" s="1"/>
  <c r="T18" i="44" s="1"/>
  <c r="T19" i="44" s="1"/>
  <c r="T24" i="44"/>
  <c r="O56" i="75" l="1"/>
  <c r="O58" i="75" s="1"/>
  <c r="O62" i="75" s="1"/>
  <c r="O17" i="75"/>
  <c r="P46" i="75"/>
  <c r="P50" i="75"/>
  <c r="P51" i="75" s="1"/>
  <c r="Q45" i="75"/>
  <c r="Q20" i="75"/>
  <c r="Q3" i="44"/>
  <c r="Q3" i="75"/>
  <c r="Q3" i="74"/>
  <c r="R57" i="75"/>
  <c r="R44" i="75"/>
  <c r="R58" i="74"/>
  <c r="R85" i="74"/>
  <c r="R31" i="74"/>
  <c r="V5" i="75"/>
  <c r="V5" i="74"/>
  <c r="S4" i="75"/>
  <c r="S4" i="74"/>
  <c r="T43" i="75"/>
  <c r="T2" i="75"/>
  <c r="T2" i="74"/>
  <c r="P86" i="66"/>
  <c r="P60" i="71"/>
  <c r="P62" i="71" s="1"/>
  <c r="P52" i="66" s="1"/>
  <c r="Q3" i="28"/>
  <c r="S60" i="73"/>
  <c r="R76" i="73"/>
  <c r="R64" i="73"/>
  <c r="R65" i="73" s="1"/>
  <c r="R46" i="66" s="1"/>
  <c r="Q38" i="71"/>
  <c r="Q59" i="71" s="1"/>
  <c r="R100" i="69"/>
  <c r="S97" i="69" s="1"/>
  <c r="S106" i="69" s="1"/>
  <c r="S107" i="69" s="1"/>
  <c r="S70" i="73"/>
  <c r="S58" i="73"/>
  <c r="Q3" i="73"/>
  <c r="Q3" i="71"/>
  <c r="Q3" i="72"/>
  <c r="Q3" i="70"/>
  <c r="Q3" i="57"/>
  <c r="Q3" i="63"/>
  <c r="Q3" i="69"/>
  <c r="Q3" i="66"/>
  <c r="Q3" i="61"/>
  <c r="O12" i="71"/>
  <c r="O26" i="71" s="1"/>
  <c r="O27" i="71" s="1"/>
  <c r="O28" i="71" s="1"/>
  <c r="O71" i="71" s="1"/>
  <c r="O73" i="71" s="1"/>
  <c r="O75" i="71" s="1"/>
  <c r="N58" i="71"/>
  <c r="N60" i="71" s="1"/>
  <c r="N62" i="71" s="1"/>
  <c r="N28" i="71"/>
  <c r="N71" i="71" s="1"/>
  <c r="N73" i="71" s="1"/>
  <c r="V5" i="73"/>
  <c r="V5" i="71"/>
  <c r="V5" i="70"/>
  <c r="V5" i="72"/>
  <c r="V5" i="69"/>
  <c r="T2" i="73"/>
  <c r="T2" i="71"/>
  <c r="T2" i="72"/>
  <c r="Q15" i="71"/>
  <c r="S48" i="72"/>
  <c r="S33" i="71"/>
  <c r="S10" i="71"/>
  <c r="S4" i="73"/>
  <c r="S4" i="72"/>
  <c r="S4" i="71"/>
  <c r="R51" i="73"/>
  <c r="R54" i="72"/>
  <c r="R61" i="71"/>
  <c r="R74" i="71"/>
  <c r="R130" i="69"/>
  <c r="R138" i="69"/>
  <c r="Q51" i="71"/>
  <c r="P137" i="69"/>
  <c r="P139" i="69" s="1"/>
  <c r="P34" i="66" s="1"/>
  <c r="P35" i="66" s="1"/>
  <c r="R58" i="69"/>
  <c r="R61" i="69" s="1"/>
  <c r="Q135" i="69"/>
  <c r="Q117" i="69"/>
  <c r="S52" i="69"/>
  <c r="S127" i="69" s="1"/>
  <c r="S60" i="69"/>
  <c r="S39" i="69"/>
  <c r="S44" i="69" s="1"/>
  <c r="T41" i="69" s="1"/>
  <c r="T50" i="69" s="1"/>
  <c r="T51" i="69" s="1"/>
  <c r="S112" i="69"/>
  <c r="S85" i="69"/>
  <c r="S86" i="69" s="1"/>
  <c r="S95" i="69"/>
  <c r="S56" i="69"/>
  <c r="S29" i="69"/>
  <c r="S30" i="69" s="1"/>
  <c r="R116" i="69"/>
  <c r="R108" i="69"/>
  <c r="R128" i="69" s="1"/>
  <c r="R129" i="69" s="1"/>
  <c r="S4" i="70"/>
  <c r="S4" i="69"/>
  <c r="T2" i="70"/>
  <c r="T2" i="69"/>
  <c r="S38" i="61"/>
  <c r="S23" i="61"/>
  <c r="V5" i="61"/>
  <c r="V5" i="66"/>
  <c r="V5" i="63"/>
  <c r="T2" i="61"/>
  <c r="T2" i="66"/>
  <c r="T2" i="63"/>
  <c r="S4" i="61"/>
  <c r="S4" i="63"/>
  <c r="S4" i="66"/>
  <c r="Q46" i="61"/>
  <c r="Q10" i="66"/>
  <c r="R37" i="61"/>
  <c r="R39" i="61" s="1"/>
  <c r="R22" i="61"/>
  <c r="R63" i="44"/>
  <c r="R64" i="44" s="1"/>
  <c r="S43" i="44"/>
  <c r="U24" i="44"/>
  <c r="U14" i="44"/>
  <c r="U15" i="44" s="1"/>
  <c r="U18" i="44" s="1"/>
  <c r="U19" i="44" s="1"/>
  <c r="S10" i="28"/>
  <c r="S15" i="28" s="1"/>
  <c r="T12" i="28" s="1"/>
  <c r="S4" i="57"/>
  <c r="S4" i="28"/>
  <c r="S4" i="44"/>
  <c r="T42" i="44"/>
  <c r="T2" i="44"/>
  <c r="T32" i="44"/>
  <c r="T33" i="44" s="1"/>
  <c r="T47" i="44"/>
  <c r="T48" i="44" s="1"/>
  <c r="T18" i="75" s="1"/>
  <c r="T23" i="44"/>
  <c r="T25" i="44" s="1"/>
  <c r="T2" i="28"/>
  <c r="T57" i="44"/>
  <c r="T58" i="44" s="1"/>
  <c r="T28" i="75" s="1"/>
  <c r="T29" i="75" s="1"/>
  <c r="T34" i="75" s="1"/>
  <c r="T52" i="44"/>
  <c r="T53" i="44" s="1"/>
  <c r="T62" i="44" s="1"/>
  <c r="T2" i="57"/>
  <c r="V5" i="28"/>
  <c r="V5" i="44"/>
  <c r="W9" i="44"/>
  <c r="V10" i="44"/>
  <c r="V5" i="57"/>
  <c r="P56" i="75" l="1"/>
  <c r="P58" i="75" s="1"/>
  <c r="P62" i="75" s="1"/>
  <c r="P17" i="75"/>
  <c r="Q46" i="75"/>
  <c r="Q50" i="75"/>
  <c r="Q51" i="75" s="1"/>
  <c r="R45" i="75"/>
  <c r="R20" i="75"/>
  <c r="R3" i="75"/>
  <c r="R3" i="74"/>
  <c r="S57" i="75"/>
  <c r="S44" i="75"/>
  <c r="S58" i="74"/>
  <c r="S31" i="74"/>
  <c r="S85" i="74"/>
  <c r="U43" i="75"/>
  <c r="U2" i="75"/>
  <c r="U2" i="74"/>
  <c r="T4" i="75"/>
  <c r="T4" i="74"/>
  <c r="W5" i="75"/>
  <c r="W5" i="74"/>
  <c r="S100" i="69"/>
  <c r="T97" i="69" s="1"/>
  <c r="R35" i="71"/>
  <c r="R50" i="71" s="1"/>
  <c r="R51" i="71" s="1"/>
  <c r="R52" i="71" s="1"/>
  <c r="R72" i="71" s="1"/>
  <c r="R131" i="69"/>
  <c r="R20" i="66" s="1"/>
  <c r="T70" i="73"/>
  <c r="T58" i="73"/>
  <c r="S76" i="73"/>
  <c r="S64" i="73"/>
  <c r="S63" i="73"/>
  <c r="T60" i="73" s="1"/>
  <c r="T63" i="73" s="1"/>
  <c r="U60" i="73" s="1"/>
  <c r="N75" i="71"/>
  <c r="U2" i="73"/>
  <c r="U2" i="71"/>
  <c r="U2" i="72"/>
  <c r="Q52" i="71"/>
  <c r="Q72" i="71" s="1"/>
  <c r="Q73" i="71" s="1"/>
  <c r="Q75" i="71" s="1"/>
  <c r="Q22" i="66" s="1"/>
  <c r="R12" i="71"/>
  <c r="Q58" i="71"/>
  <c r="Q60" i="71" s="1"/>
  <c r="Q62" i="71" s="1"/>
  <c r="Q52" i="66" s="1"/>
  <c r="R3" i="44"/>
  <c r="R3" i="73"/>
  <c r="R3" i="72"/>
  <c r="R3" i="71"/>
  <c r="W5" i="73"/>
  <c r="W5" i="71"/>
  <c r="W5" i="70"/>
  <c r="W5" i="72"/>
  <c r="W5" i="69"/>
  <c r="S63" i="44"/>
  <c r="S64" i="44" s="1"/>
  <c r="S51" i="73"/>
  <c r="S54" i="72"/>
  <c r="S61" i="71"/>
  <c r="S138" i="69"/>
  <c r="S74" i="71"/>
  <c r="S130" i="69"/>
  <c r="T4" i="73"/>
  <c r="T4" i="72"/>
  <c r="T4" i="71"/>
  <c r="T48" i="72"/>
  <c r="T33" i="71"/>
  <c r="T10" i="71"/>
  <c r="S58" i="69"/>
  <c r="S61" i="69" s="1"/>
  <c r="R135" i="69"/>
  <c r="R114" i="69"/>
  <c r="R117" i="69" s="1"/>
  <c r="Q136" i="69"/>
  <c r="Q137" i="69" s="1"/>
  <c r="Q139" i="69" s="1"/>
  <c r="Q34" i="66" s="1"/>
  <c r="Q35" i="66" s="1"/>
  <c r="T106" i="69"/>
  <c r="T107" i="69" s="1"/>
  <c r="T60" i="69"/>
  <c r="T52" i="69"/>
  <c r="T127" i="69" s="1"/>
  <c r="S116" i="69"/>
  <c r="S108" i="69"/>
  <c r="S128" i="69" s="1"/>
  <c r="S129" i="69" s="1"/>
  <c r="T112" i="69"/>
  <c r="T85" i="69"/>
  <c r="T86" i="69" s="1"/>
  <c r="T39" i="69"/>
  <c r="T44" i="69" s="1"/>
  <c r="U41" i="69" s="1"/>
  <c r="U50" i="69" s="1"/>
  <c r="U51" i="69" s="1"/>
  <c r="T56" i="69"/>
  <c r="T95" i="69"/>
  <c r="T100" i="69" s="1"/>
  <c r="U97" i="69" s="1"/>
  <c r="T29" i="69"/>
  <c r="T30" i="69" s="1"/>
  <c r="T4" i="69"/>
  <c r="T4" i="70"/>
  <c r="U2" i="69"/>
  <c r="U2" i="70"/>
  <c r="R3" i="28"/>
  <c r="R3" i="69"/>
  <c r="R3" i="70"/>
  <c r="S3" i="63"/>
  <c r="S37" i="61"/>
  <c r="S39" i="61" s="1"/>
  <c r="S22" i="61"/>
  <c r="R3" i="57"/>
  <c r="T4" i="61"/>
  <c r="T4" i="63"/>
  <c r="T4" i="66"/>
  <c r="R3" i="61"/>
  <c r="R3" i="66"/>
  <c r="R3" i="63"/>
  <c r="R10" i="66"/>
  <c r="R46" i="61"/>
  <c r="T38" i="61"/>
  <c r="T23" i="61"/>
  <c r="W5" i="61"/>
  <c r="W5" i="66"/>
  <c r="W5" i="63"/>
  <c r="U2" i="61"/>
  <c r="U2" i="66"/>
  <c r="U2" i="63"/>
  <c r="T43" i="44"/>
  <c r="V14" i="44"/>
  <c r="V15" i="44" s="1"/>
  <c r="V18" i="44" s="1"/>
  <c r="V19" i="44" s="1"/>
  <c r="V24" i="44"/>
  <c r="U2" i="57"/>
  <c r="U32" i="44"/>
  <c r="U33" i="44" s="1"/>
  <c r="U47" i="44"/>
  <c r="U48" i="44" s="1"/>
  <c r="U18" i="75" s="1"/>
  <c r="U2" i="28"/>
  <c r="U52" i="44"/>
  <c r="U53" i="44" s="1"/>
  <c r="U62" i="44" s="1"/>
  <c r="U2" i="44"/>
  <c r="U23" i="44"/>
  <c r="U25" i="44" s="1"/>
  <c r="U42" i="44"/>
  <c r="U57" i="44"/>
  <c r="U58" i="44" s="1"/>
  <c r="U28" i="75" s="1"/>
  <c r="W5" i="57"/>
  <c r="X9" i="44"/>
  <c r="W10" i="44"/>
  <c r="W5" i="44"/>
  <c r="W5" i="28"/>
  <c r="T4" i="28"/>
  <c r="T4" i="44"/>
  <c r="T4" i="57"/>
  <c r="T10" i="28"/>
  <c r="T15" i="28" s="1"/>
  <c r="U12" i="28" s="1"/>
  <c r="Q56" i="75" l="1"/>
  <c r="Q58" i="75" s="1"/>
  <c r="Q62" i="75" s="1"/>
  <c r="Q17" i="75"/>
  <c r="R46" i="75"/>
  <c r="R50" i="75"/>
  <c r="R51" i="75" s="1"/>
  <c r="S45" i="75"/>
  <c r="S20" i="75"/>
  <c r="S3" i="44"/>
  <c r="S3" i="75"/>
  <c r="S3" i="74"/>
  <c r="T44" i="75"/>
  <c r="T57" i="75"/>
  <c r="T58" i="74"/>
  <c r="T31" i="74"/>
  <c r="T85" i="74"/>
  <c r="V2" i="75"/>
  <c r="V43" i="75"/>
  <c r="V2" i="74"/>
  <c r="U4" i="75"/>
  <c r="U4" i="74"/>
  <c r="X5" i="75"/>
  <c r="X5" i="74"/>
  <c r="R38" i="71"/>
  <c r="S35" i="71" s="1"/>
  <c r="S50" i="71" s="1"/>
  <c r="S51" i="71" s="1"/>
  <c r="S3" i="66"/>
  <c r="S3" i="61"/>
  <c r="S65" i="73"/>
  <c r="S46" i="66" s="1"/>
  <c r="S3" i="69"/>
  <c r="U70" i="73"/>
  <c r="U58" i="73"/>
  <c r="U63" i="73" s="1"/>
  <c r="V60" i="73" s="1"/>
  <c r="T76" i="73"/>
  <c r="T64" i="73"/>
  <c r="T65" i="73" s="1"/>
  <c r="T46" i="66" s="1"/>
  <c r="X5" i="73"/>
  <c r="X5" i="70"/>
  <c r="X5" i="72"/>
  <c r="X5" i="71"/>
  <c r="X5" i="69"/>
  <c r="R15" i="71"/>
  <c r="R26" i="71"/>
  <c r="R27" i="71" s="1"/>
  <c r="Q86" i="66"/>
  <c r="U48" i="72"/>
  <c r="U33" i="71"/>
  <c r="U10" i="71"/>
  <c r="S3" i="73"/>
  <c r="S3" i="72"/>
  <c r="S3" i="71"/>
  <c r="V2" i="73"/>
  <c r="V2" i="71"/>
  <c r="V2" i="72"/>
  <c r="T51" i="73"/>
  <c r="T54" i="72"/>
  <c r="T61" i="71"/>
  <c r="T138" i="69"/>
  <c r="T130" i="69"/>
  <c r="T74" i="71"/>
  <c r="U4" i="73"/>
  <c r="U4" i="72"/>
  <c r="U4" i="71"/>
  <c r="S3" i="57"/>
  <c r="T63" i="44"/>
  <c r="T64" i="44" s="1"/>
  <c r="S3" i="28"/>
  <c r="S3" i="70"/>
  <c r="S131" i="69"/>
  <c r="S20" i="66" s="1"/>
  <c r="T58" i="69"/>
  <c r="T61" i="69" s="1"/>
  <c r="S135" i="69"/>
  <c r="S114" i="69"/>
  <c r="S117" i="69" s="1"/>
  <c r="R136" i="69"/>
  <c r="R137" i="69" s="1"/>
  <c r="R139" i="69" s="1"/>
  <c r="R34" i="66" s="1"/>
  <c r="R35" i="66" s="1"/>
  <c r="U106" i="69"/>
  <c r="U107" i="69" s="1"/>
  <c r="U52" i="69"/>
  <c r="U127" i="69" s="1"/>
  <c r="U60" i="69"/>
  <c r="U39" i="69"/>
  <c r="U44" i="69" s="1"/>
  <c r="V41" i="69" s="1"/>
  <c r="V50" i="69" s="1"/>
  <c r="V51" i="69" s="1"/>
  <c r="U85" i="69"/>
  <c r="U86" i="69" s="1"/>
  <c r="U112" i="69"/>
  <c r="U56" i="69"/>
  <c r="U95" i="69"/>
  <c r="U100" i="69" s="1"/>
  <c r="V97" i="69" s="1"/>
  <c r="U29" i="69"/>
  <c r="U30" i="69" s="1"/>
  <c r="T116" i="69"/>
  <c r="T108" i="69"/>
  <c r="T128" i="69" s="1"/>
  <c r="T129" i="69" s="1"/>
  <c r="U4" i="70"/>
  <c r="U4" i="69"/>
  <c r="V2" i="69"/>
  <c r="V2" i="70"/>
  <c r="S10" i="66"/>
  <c r="S46" i="61"/>
  <c r="U38" i="61"/>
  <c r="U23" i="61"/>
  <c r="U4" i="61"/>
  <c r="U4" i="63"/>
  <c r="U4" i="66"/>
  <c r="V2" i="61"/>
  <c r="V2" i="66"/>
  <c r="V2" i="63"/>
  <c r="X5" i="61"/>
  <c r="X5" i="66"/>
  <c r="X5" i="63"/>
  <c r="T37" i="61"/>
  <c r="T39" i="61" s="1"/>
  <c r="T22" i="61"/>
  <c r="U43" i="44"/>
  <c r="W14" i="44"/>
  <c r="W15" i="44" s="1"/>
  <c r="W18" i="44" s="1"/>
  <c r="W19" i="44" s="1"/>
  <c r="W24" i="44"/>
  <c r="U10" i="28"/>
  <c r="U15" i="28" s="1"/>
  <c r="V12" i="28" s="1"/>
  <c r="X5" i="57"/>
  <c r="Y9" i="44"/>
  <c r="X5" i="44"/>
  <c r="X5" i="28"/>
  <c r="X10" i="44"/>
  <c r="V23" i="44"/>
  <c r="V25" i="44" s="1"/>
  <c r="V57" i="44"/>
  <c r="V58" i="44" s="1"/>
  <c r="V28" i="75" s="1"/>
  <c r="V29" i="75" s="1"/>
  <c r="V34" i="75" s="1"/>
  <c r="V2" i="28"/>
  <c r="V2" i="57"/>
  <c r="V2" i="44"/>
  <c r="V32" i="44"/>
  <c r="V33" i="44" s="1"/>
  <c r="V42" i="44"/>
  <c r="V52" i="44"/>
  <c r="V53" i="44" s="1"/>
  <c r="V62" i="44" s="1"/>
  <c r="V47" i="44"/>
  <c r="V48" i="44" s="1"/>
  <c r="V18" i="75" s="1"/>
  <c r="U4" i="57"/>
  <c r="U4" i="44"/>
  <c r="U4" i="28"/>
  <c r="R17" i="75" l="1"/>
  <c r="R56" i="75"/>
  <c r="R58" i="75" s="1"/>
  <c r="R62" i="75" s="1"/>
  <c r="S46" i="75"/>
  <c r="S50" i="75"/>
  <c r="S51" i="75" s="1"/>
  <c r="T45" i="75"/>
  <c r="T20" i="75"/>
  <c r="T131" i="69"/>
  <c r="T20" i="66" s="1"/>
  <c r="T3" i="28"/>
  <c r="T3" i="75"/>
  <c r="T3" i="74"/>
  <c r="U57" i="75"/>
  <c r="U44" i="75"/>
  <c r="U58" i="74"/>
  <c r="U31" i="74"/>
  <c r="U85" i="74"/>
  <c r="W43" i="75"/>
  <c r="W2" i="75"/>
  <c r="W2" i="74"/>
  <c r="Y5" i="75"/>
  <c r="Y5" i="74"/>
  <c r="V4" i="75"/>
  <c r="V4" i="74"/>
  <c r="R59" i="71"/>
  <c r="S38" i="71"/>
  <c r="S59" i="71" s="1"/>
  <c r="T3" i="70"/>
  <c r="T3" i="69"/>
  <c r="T3" i="63"/>
  <c r="T3" i="61"/>
  <c r="T3" i="66"/>
  <c r="T3" i="44"/>
  <c r="V70" i="73"/>
  <c r="V58" i="73"/>
  <c r="V63" i="73" s="1"/>
  <c r="W60" i="73" s="1"/>
  <c r="U64" i="73"/>
  <c r="U65" i="73" s="1"/>
  <c r="U46" i="66" s="1"/>
  <c r="U76" i="73"/>
  <c r="V4" i="73"/>
  <c r="V4" i="71"/>
  <c r="V4" i="72"/>
  <c r="Y5" i="73"/>
  <c r="Y5" i="70"/>
  <c r="Y5" i="72"/>
  <c r="Y5" i="71"/>
  <c r="Y5" i="69"/>
  <c r="R28" i="71"/>
  <c r="R71" i="71" s="1"/>
  <c r="R73" i="71" s="1"/>
  <c r="R75" i="71" s="1"/>
  <c r="R22" i="66" s="1"/>
  <c r="S12" i="71"/>
  <c r="R58" i="71"/>
  <c r="T3" i="73"/>
  <c r="T3" i="72"/>
  <c r="T3" i="71"/>
  <c r="S52" i="71"/>
  <c r="S72" i="71" s="1"/>
  <c r="W2" i="73"/>
  <c r="W2" i="72"/>
  <c r="W2" i="71"/>
  <c r="V48" i="72"/>
  <c r="V33" i="71"/>
  <c r="V10" i="71"/>
  <c r="T3" i="57"/>
  <c r="U63" i="44"/>
  <c r="U64" i="44" s="1"/>
  <c r="U51" i="73"/>
  <c r="U54" i="72"/>
  <c r="U61" i="71"/>
  <c r="U138" i="69"/>
  <c r="U130" i="69"/>
  <c r="U74" i="71"/>
  <c r="T114" i="69"/>
  <c r="T117" i="69" s="1"/>
  <c r="S136" i="69"/>
  <c r="S137" i="69" s="1"/>
  <c r="S139" i="69" s="1"/>
  <c r="S34" i="66" s="1"/>
  <c r="S35" i="66" s="1"/>
  <c r="U58" i="69"/>
  <c r="U61" i="69" s="1"/>
  <c r="T135" i="69"/>
  <c r="V106" i="69"/>
  <c r="V107" i="69" s="1"/>
  <c r="V52" i="69"/>
  <c r="V127" i="69" s="1"/>
  <c r="V60" i="69"/>
  <c r="V112" i="69"/>
  <c r="V85" i="69"/>
  <c r="V86" i="69" s="1"/>
  <c r="V39" i="69"/>
  <c r="V44" i="69" s="1"/>
  <c r="W41" i="69" s="1"/>
  <c r="W50" i="69" s="1"/>
  <c r="W51" i="69" s="1"/>
  <c r="V56" i="69"/>
  <c r="V95" i="69"/>
  <c r="V100" i="69" s="1"/>
  <c r="W97" i="69" s="1"/>
  <c r="V29" i="69"/>
  <c r="V30" i="69" s="1"/>
  <c r="U116" i="69"/>
  <c r="U108" i="69"/>
  <c r="U128" i="69" s="1"/>
  <c r="U129" i="69" s="1"/>
  <c r="U131" i="69" s="1"/>
  <c r="U20" i="66" s="1"/>
  <c r="V4" i="70"/>
  <c r="V4" i="69"/>
  <c r="W2" i="69"/>
  <c r="W2" i="70"/>
  <c r="T10" i="66"/>
  <c r="T46" i="61"/>
  <c r="V4" i="61"/>
  <c r="V4" i="66"/>
  <c r="V4" i="63"/>
  <c r="V38" i="61"/>
  <c r="V23" i="61"/>
  <c r="Y5" i="61"/>
  <c r="Y5" i="66"/>
  <c r="Y5" i="63"/>
  <c r="W2" i="61"/>
  <c r="W2" i="66"/>
  <c r="W2" i="63"/>
  <c r="U37" i="61"/>
  <c r="U39" i="61" s="1"/>
  <c r="U22" i="61"/>
  <c r="V43" i="44"/>
  <c r="W47" i="44"/>
  <c r="W48" i="44" s="1"/>
  <c r="W18" i="75" s="1"/>
  <c r="W2" i="44"/>
  <c r="W2" i="28"/>
  <c r="W57" i="44"/>
  <c r="W58" i="44" s="1"/>
  <c r="W28" i="75" s="1"/>
  <c r="W29" i="75" s="1"/>
  <c r="W34" i="75" s="1"/>
  <c r="W32" i="44"/>
  <c r="W33" i="44" s="1"/>
  <c r="W42" i="44"/>
  <c r="W23" i="44"/>
  <c r="W25" i="44" s="1"/>
  <c r="W52" i="44"/>
  <c r="W53" i="44" s="1"/>
  <c r="W62" i="44" s="1"/>
  <c r="W2" i="57"/>
  <c r="V4" i="28"/>
  <c r="V4" i="44"/>
  <c r="V4" i="57"/>
  <c r="X14" i="44"/>
  <c r="X15" i="44" s="1"/>
  <c r="X18" i="44" s="1"/>
  <c r="X19" i="44" s="1"/>
  <c r="X24" i="44"/>
  <c r="Z9" i="44"/>
  <c r="Y5" i="28"/>
  <c r="Y10" i="44"/>
  <c r="Y5" i="44"/>
  <c r="Y5" i="57"/>
  <c r="V10" i="28"/>
  <c r="V15" i="28" s="1"/>
  <c r="W12" i="28" s="1"/>
  <c r="S17" i="75" l="1"/>
  <c r="S56" i="75"/>
  <c r="S58" i="75" s="1"/>
  <c r="S62" i="75" s="1"/>
  <c r="T46" i="75"/>
  <c r="T50" i="75"/>
  <c r="T51" i="75" s="1"/>
  <c r="U45" i="75"/>
  <c r="U20" i="75"/>
  <c r="U3" i="70"/>
  <c r="U3" i="69"/>
  <c r="U3" i="61"/>
  <c r="U3" i="28"/>
  <c r="U3" i="44"/>
  <c r="U3" i="57"/>
  <c r="U3" i="75"/>
  <c r="U3" i="74"/>
  <c r="V57" i="75"/>
  <c r="V44" i="75"/>
  <c r="V85" i="74"/>
  <c r="V58" i="74"/>
  <c r="V31" i="74"/>
  <c r="W4" i="75"/>
  <c r="W4" i="74"/>
  <c r="X2" i="75"/>
  <c r="X2" i="74"/>
  <c r="Z5" i="75"/>
  <c r="Z5" i="74"/>
  <c r="T35" i="71"/>
  <c r="R60" i="71"/>
  <c r="R62" i="71" s="1"/>
  <c r="R52" i="66" s="1"/>
  <c r="U3" i="66"/>
  <c r="U3" i="63"/>
  <c r="W70" i="73"/>
  <c r="W58" i="73"/>
  <c r="W63" i="73" s="1"/>
  <c r="X60" i="73" s="1"/>
  <c r="V76" i="73"/>
  <c r="V64" i="73"/>
  <c r="V65" i="73" s="1"/>
  <c r="V46" i="66" s="1"/>
  <c r="Z5" i="73"/>
  <c r="Z5" i="72"/>
  <c r="Z5" i="69"/>
  <c r="Z5" i="70"/>
  <c r="Z5" i="71"/>
  <c r="T50" i="71"/>
  <c r="T51" i="71" s="1"/>
  <c r="T52" i="71" s="1"/>
  <c r="T72" i="71" s="1"/>
  <c r="T38" i="71"/>
  <c r="X2" i="73"/>
  <c r="X2" i="72"/>
  <c r="X2" i="71"/>
  <c r="W4" i="73"/>
  <c r="W4" i="71"/>
  <c r="W4" i="72"/>
  <c r="W48" i="72"/>
  <c r="W33" i="71"/>
  <c r="W10" i="71"/>
  <c r="U3" i="73"/>
  <c r="U3" i="72"/>
  <c r="U3" i="71"/>
  <c r="S26" i="71"/>
  <c r="S27" i="71" s="1"/>
  <c r="S28" i="71" s="1"/>
  <c r="S71" i="71" s="1"/>
  <c r="S73" i="71" s="1"/>
  <c r="S75" i="71" s="1"/>
  <c r="S22" i="66" s="1"/>
  <c r="S86" i="66" s="1"/>
  <c r="S15" i="71"/>
  <c r="V51" i="73"/>
  <c r="V54" i="72"/>
  <c r="V138" i="69"/>
  <c r="V130" i="69"/>
  <c r="V74" i="71"/>
  <c r="V61" i="71"/>
  <c r="R86" i="66"/>
  <c r="V58" i="69"/>
  <c r="V61" i="69" s="1"/>
  <c r="U135" i="69"/>
  <c r="U114" i="69"/>
  <c r="U117" i="69" s="1"/>
  <c r="T136" i="69"/>
  <c r="T137" i="69" s="1"/>
  <c r="T139" i="69" s="1"/>
  <c r="T34" i="66" s="1"/>
  <c r="T35" i="66" s="1"/>
  <c r="W106" i="69"/>
  <c r="W107" i="69" s="1"/>
  <c r="H51" i="69"/>
  <c r="H60" i="69" s="1"/>
  <c r="W60" i="69"/>
  <c r="W52" i="69"/>
  <c r="W112" i="69"/>
  <c r="W85" i="69"/>
  <c r="W86" i="69" s="1"/>
  <c r="H86" i="69" s="1"/>
  <c r="W56" i="69"/>
  <c r="W95" i="69"/>
  <c r="W100" i="69" s="1"/>
  <c r="W29" i="69"/>
  <c r="W30" i="69" s="1"/>
  <c r="H30" i="69" s="1"/>
  <c r="W39" i="69"/>
  <c r="W44" i="69" s="1"/>
  <c r="V116" i="69"/>
  <c r="V108" i="69"/>
  <c r="V128" i="69" s="1"/>
  <c r="V129" i="69" s="1"/>
  <c r="W4" i="70"/>
  <c r="W4" i="69"/>
  <c r="X2" i="69"/>
  <c r="X2" i="70"/>
  <c r="U46" i="61"/>
  <c r="U10" i="66"/>
  <c r="W38" i="61"/>
  <c r="W23" i="61"/>
  <c r="V37" i="61"/>
  <c r="V39" i="61" s="1"/>
  <c r="V22" i="61"/>
  <c r="X2" i="61"/>
  <c r="X2" i="66"/>
  <c r="X2" i="63"/>
  <c r="Z5" i="61"/>
  <c r="Z5" i="66"/>
  <c r="Z5" i="63"/>
  <c r="W4" i="61"/>
  <c r="W4" i="63"/>
  <c r="W4" i="66"/>
  <c r="V63" i="44"/>
  <c r="V64" i="44" s="1"/>
  <c r="W43" i="44"/>
  <c r="X47" i="44"/>
  <c r="X48" i="44" s="1"/>
  <c r="X2" i="44"/>
  <c r="X52" i="44"/>
  <c r="X53" i="44" s="1"/>
  <c r="X62" i="44" s="1"/>
  <c r="X2" i="28"/>
  <c r="X42" i="44"/>
  <c r="X43" i="44" s="1"/>
  <c r="X63" i="44" s="1"/>
  <c r="X2" i="57"/>
  <c r="X57" i="44"/>
  <c r="X58" i="44" s="1"/>
  <c r="X32" i="44"/>
  <c r="X33" i="44" s="1"/>
  <c r="X23" i="44"/>
  <c r="X25" i="44" s="1"/>
  <c r="W10" i="28"/>
  <c r="W15" i="28" s="1"/>
  <c r="X12" i="28" s="1"/>
  <c r="Y24" i="44"/>
  <c r="Y14" i="44"/>
  <c r="Y15" i="44" s="1"/>
  <c r="Y18" i="44" s="1"/>
  <c r="Y19" i="44" s="1"/>
  <c r="W4" i="57"/>
  <c r="W4" i="28"/>
  <c r="W4" i="44"/>
  <c r="Z5" i="28"/>
  <c r="Z5" i="44"/>
  <c r="AA9" i="44"/>
  <c r="Z5" i="57"/>
  <c r="Z10" i="44"/>
  <c r="T56" i="75" l="1"/>
  <c r="T58" i="75" s="1"/>
  <c r="T62" i="75" s="1"/>
  <c r="T17" i="75"/>
  <c r="U46" i="75"/>
  <c r="U50" i="75"/>
  <c r="U51" i="75" s="1"/>
  <c r="V45" i="75"/>
  <c r="V20" i="75"/>
  <c r="V131" i="69"/>
  <c r="V20" i="66" s="1"/>
  <c r="V3" i="75"/>
  <c r="V3" i="74"/>
  <c r="W57" i="75"/>
  <c r="W44" i="75"/>
  <c r="W58" i="74"/>
  <c r="W31" i="74"/>
  <c r="W85" i="74"/>
  <c r="X4" i="75"/>
  <c r="X4" i="74"/>
  <c r="Y2" i="75"/>
  <c r="Y2" i="74"/>
  <c r="AA5" i="75"/>
  <c r="AA5" i="74"/>
  <c r="W76" i="73"/>
  <c r="W64" i="73"/>
  <c r="W65" i="73" s="1"/>
  <c r="X70" i="73"/>
  <c r="X58" i="73"/>
  <c r="X63" i="73" s="1"/>
  <c r="Y60" i="73" s="1"/>
  <c r="V3" i="28"/>
  <c r="V3" i="73"/>
  <c r="V3" i="72"/>
  <c r="V3" i="71"/>
  <c r="T12" i="71"/>
  <c r="S58" i="71"/>
  <c r="S60" i="71" s="1"/>
  <c r="S62" i="71" s="1"/>
  <c r="S52" i="66" s="1"/>
  <c r="Y2" i="73"/>
  <c r="Y2" i="72"/>
  <c r="Y2" i="71"/>
  <c r="U35" i="71"/>
  <c r="T59" i="71"/>
  <c r="X4" i="73"/>
  <c r="X4" i="71"/>
  <c r="X4" i="72"/>
  <c r="W63" i="44"/>
  <c r="W64" i="44" s="1"/>
  <c r="W51" i="73"/>
  <c r="W54" i="72"/>
  <c r="W138" i="69"/>
  <c r="H68" i="71"/>
  <c r="W130" i="69"/>
  <c r="W74" i="71"/>
  <c r="W61" i="71"/>
  <c r="X48" i="72"/>
  <c r="X33" i="71"/>
  <c r="X10" i="71"/>
  <c r="AA5" i="73"/>
  <c r="AA5" i="72"/>
  <c r="AA5" i="71"/>
  <c r="AA5" i="70"/>
  <c r="AA5" i="69"/>
  <c r="V114" i="69"/>
  <c r="V117" i="69" s="1"/>
  <c r="U136" i="69"/>
  <c r="U137" i="69" s="1"/>
  <c r="U139" i="69" s="1"/>
  <c r="U34" i="66" s="1"/>
  <c r="U35" i="66" s="1"/>
  <c r="W58" i="69"/>
  <c r="W61" i="69" s="1"/>
  <c r="W135" i="69" s="1"/>
  <c r="V135" i="69"/>
  <c r="H52" i="69"/>
  <c r="H127" i="69" s="1"/>
  <c r="W127" i="69"/>
  <c r="W116" i="69"/>
  <c r="W108" i="69"/>
  <c r="H107" i="69"/>
  <c r="H116" i="69" s="1"/>
  <c r="V3" i="70"/>
  <c r="V3" i="69"/>
  <c r="V3" i="44"/>
  <c r="Y2" i="69"/>
  <c r="Y2" i="70"/>
  <c r="X4" i="70"/>
  <c r="X4" i="69"/>
  <c r="V3" i="57"/>
  <c r="W39" i="61"/>
  <c r="V46" i="61"/>
  <c r="V10" i="66"/>
  <c r="Y2" i="61"/>
  <c r="Y2" i="66"/>
  <c r="Y2" i="63"/>
  <c r="V3" i="61"/>
  <c r="V3" i="63"/>
  <c r="V3" i="66"/>
  <c r="W37" i="61"/>
  <c r="W22" i="61"/>
  <c r="X4" i="61"/>
  <c r="X4" i="66"/>
  <c r="X4" i="63"/>
  <c r="AA5" i="61"/>
  <c r="AA5" i="63"/>
  <c r="AA5" i="66"/>
  <c r="Y52" i="44"/>
  <c r="Y53" i="44" s="1"/>
  <c r="Y62" i="44" s="1"/>
  <c r="Y2" i="57"/>
  <c r="Y32" i="44"/>
  <c r="Y33" i="44" s="1"/>
  <c r="Y2" i="44"/>
  <c r="Y57" i="44"/>
  <c r="Y58" i="44" s="1"/>
  <c r="Y47" i="44"/>
  <c r="Y48" i="44" s="1"/>
  <c r="Y42" i="44"/>
  <c r="Y43" i="44" s="1"/>
  <c r="Y63" i="44" s="1"/>
  <c r="Y23" i="44"/>
  <c r="Y25" i="44" s="1"/>
  <c r="Y2" i="28"/>
  <c r="X10" i="28"/>
  <c r="X15" i="28" s="1"/>
  <c r="Y12" i="28" s="1"/>
  <c r="Z14" i="44"/>
  <c r="Z15" i="44" s="1"/>
  <c r="Z18" i="44" s="1"/>
  <c r="Z19" i="44" s="1"/>
  <c r="Z24" i="44"/>
  <c r="X4" i="44"/>
  <c r="X4" i="28"/>
  <c r="X4" i="57"/>
  <c r="W3" i="44"/>
  <c r="AA5" i="44"/>
  <c r="AA5" i="57"/>
  <c r="AB9" i="44"/>
  <c r="AA5" i="28"/>
  <c r="AA10" i="44"/>
  <c r="X64" i="44"/>
  <c r="U17" i="75" l="1"/>
  <c r="U56" i="75"/>
  <c r="U58" i="75" s="1"/>
  <c r="U62" i="75" s="1"/>
  <c r="V50" i="75"/>
  <c r="V51" i="75" s="1"/>
  <c r="V46" i="75"/>
  <c r="W45" i="75"/>
  <c r="W20" i="75"/>
  <c r="H65" i="73"/>
  <c r="W46" i="66"/>
  <c r="W3" i="69"/>
  <c r="W3" i="75"/>
  <c r="W3" i="74"/>
  <c r="Y4" i="75"/>
  <c r="Y4" i="74"/>
  <c r="Z2" i="75"/>
  <c r="Z2" i="74"/>
  <c r="AB5" i="75"/>
  <c r="AB5" i="74"/>
  <c r="X3" i="75"/>
  <c r="X3" i="74"/>
  <c r="W3" i="66"/>
  <c r="W3" i="63"/>
  <c r="W3" i="61"/>
  <c r="Y70" i="73"/>
  <c r="Y58" i="73"/>
  <c r="Y63" i="73" s="1"/>
  <c r="Z60" i="73" s="1"/>
  <c r="Z2" i="73"/>
  <c r="Z2" i="72"/>
  <c r="Z2" i="71"/>
  <c r="Y4" i="73"/>
  <c r="Y4" i="71"/>
  <c r="Y4" i="72"/>
  <c r="U50" i="71"/>
  <c r="U51" i="71" s="1"/>
  <c r="U52" i="71" s="1"/>
  <c r="U72" i="71" s="1"/>
  <c r="U38" i="71"/>
  <c r="W3" i="73"/>
  <c r="W3" i="72"/>
  <c r="W3" i="71"/>
  <c r="T26" i="71"/>
  <c r="T27" i="71" s="1"/>
  <c r="T28" i="71" s="1"/>
  <c r="T71" i="71" s="1"/>
  <c r="T73" i="71" s="1"/>
  <c r="T75" i="71" s="1"/>
  <c r="T22" i="66" s="1"/>
  <c r="T15" i="71"/>
  <c r="AB5" i="73"/>
  <c r="AB5" i="72"/>
  <c r="AB5" i="69"/>
  <c r="AB5" i="71"/>
  <c r="AB5" i="70"/>
  <c r="W3" i="70"/>
  <c r="W3" i="28"/>
  <c r="W3" i="57"/>
  <c r="Y48" i="72"/>
  <c r="Y33" i="71"/>
  <c r="Y10" i="71"/>
  <c r="X3" i="73"/>
  <c r="X3" i="72"/>
  <c r="X3" i="71"/>
  <c r="H108" i="69"/>
  <c r="H128" i="69" s="1"/>
  <c r="W128" i="69"/>
  <c r="W129" i="69" s="1"/>
  <c r="W114" i="69"/>
  <c r="W117" i="69" s="1"/>
  <c r="W136" i="69" s="1"/>
  <c r="W137" i="69" s="1"/>
  <c r="W139" i="69" s="1"/>
  <c r="V136" i="69"/>
  <c r="V137" i="69" s="1"/>
  <c r="V139" i="69" s="1"/>
  <c r="V34" i="66" s="1"/>
  <c r="V35" i="66" s="1"/>
  <c r="Z2" i="69"/>
  <c r="Z2" i="70"/>
  <c r="X3" i="69"/>
  <c r="X3" i="70"/>
  <c r="Y4" i="69"/>
  <c r="Y4" i="70"/>
  <c r="Z2" i="61"/>
  <c r="Z2" i="63"/>
  <c r="Z2" i="66"/>
  <c r="Y4" i="61"/>
  <c r="Y4" i="66"/>
  <c r="Y4" i="63"/>
  <c r="W46" i="61"/>
  <c r="W10" i="66"/>
  <c r="H10" i="66" s="1"/>
  <c r="H39" i="61"/>
  <c r="H46" i="61" s="1"/>
  <c r="AB5" i="61"/>
  <c r="AB5" i="63"/>
  <c r="AB5" i="66"/>
  <c r="X3" i="61"/>
  <c r="X3" i="63"/>
  <c r="X3" i="66"/>
  <c r="Y4" i="44"/>
  <c r="Y4" i="28"/>
  <c r="Y4" i="57"/>
  <c r="X3" i="44"/>
  <c r="X3" i="57"/>
  <c r="X3" i="28"/>
  <c r="AA24" i="44"/>
  <c r="AA14" i="44"/>
  <c r="AA15" i="44" s="1"/>
  <c r="AA18" i="44" s="1"/>
  <c r="AA19" i="44" s="1"/>
  <c r="AB5" i="28"/>
  <c r="AB5" i="44"/>
  <c r="AB5" i="57"/>
  <c r="AB10" i="44"/>
  <c r="AC9" i="44"/>
  <c r="Y10" i="28"/>
  <c r="Y15" i="28" s="1"/>
  <c r="Z12" i="28" s="1"/>
  <c r="Z47" i="44"/>
  <c r="Z48" i="44" s="1"/>
  <c r="Z42" i="44"/>
  <c r="Z43" i="44" s="1"/>
  <c r="Z63" i="44" s="1"/>
  <c r="Z52" i="44"/>
  <c r="Z53" i="44" s="1"/>
  <c r="Z62" i="44" s="1"/>
  <c r="Z32" i="44"/>
  <c r="Z33" i="44" s="1"/>
  <c r="Z2" i="28"/>
  <c r="Z2" i="57"/>
  <c r="Z57" i="44"/>
  <c r="Z58" i="44" s="1"/>
  <c r="Z2" i="44"/>
  <c r="Z23" i="44"/>
  <c r="Z25" i="44" s="1"/>
  <c r="Y64" i="44"/>
  <c r="V17" i="75" l="1"/>
  <c r="V56" i="75"/>
  <c r="V58" i="75" s="1"/>
  <c r="V62" i="75" s="1"/>
  <c r="W46" i="75"/>
  <c r="W50" i="75"/>
  <c r="W51" i="75" s="1"/>
  <c r="AA2" i="75"/>
  <c r="AA2" i="74"/>
  <c r="AC5" i="75"/>
  <c r="AC5" i="74"/>
  <c r="Z4" i="75"/>
  <c r="Z4" i="74"/>
  <c r="Y3" i="75"/>
  <c r="Y3" i="74"/>
  <c r="Z58" i="73"/>
  <c r="Z63" i="73" s="1"/>
  <c r="AA60" i="73" s="1"/>
  <c r="Z70" i="73"/>
  <c r="Z48" i="72"/>
  <c r="Z33" i="71"/>
  <c r="Z10" i="71"/>
  <c r="V35" i="71"/>
  <c r="U59" i="71"/>
  <c r="AC5" i="73"/>
  <c r="AC5" i="72"/>
  <c r="AC5" i="71"/>
  <c r="AC5" i="70"/>
  <c r="AC5" i="69"/>
  <c r="AA2" i="73"/>
  <c r="AA2" i="72"/>
  <c r="AA2" i="71"/>
  <c r="U12" i="71"/>
  <c r="T58" i="71"/>
  <c r="T60" i="71" s="1"/>
  <c r="T62" i="71" s="1"/>
  <c r="T52" i="66" s="1"/>
  <c r="Z4" i="73"/>
  <c r="Z4" i="71"/>
  <c r="Z4" i="72"/>
  <c r="T86" i="66"/>
  <c r="Y3" i="73"/>
  <c r="Y3" i="72"/>
  <c r="Y3" i="71"/>
  <c r="W34" i="66"/>
  <c r="W35" i="66" s="1"/>
  <c r="H139" i="69"/>
  <c r="W131" i="69"/>
  <c r="H129" i="69"/>
  <c r="AA2" i="69"/>
  <c r="AA2" i="70"/>
  <c r="Y3" i="70"/>
  <c r="Y3" i="69"/>
  <c r="Z4" i="69"/>
  <c r="Z4" i="70"/>
  <c r="Y3" i="61"/>
  <c r="Y3" i="63"/>
  <c r="Y3" i="66"/>
  <c r="AA2" i="61"/>
  <c r="AA2" i="63"/>
  <c r="AA2" i="66"/>
  <c r="Z4" i="61"/>
  <c r="Z4" i="66"/>
  <c r="Z4" i="63"/>
  <c r="AC5" i="61"/>
  <c r="AC5" i="63"/>
  <c r="AC5" i="66"/>
  <c r="Z64" i="44"/>
  <c r="Z4" i="28"/>
  <c r="Z4" i="44"/>
  <c r="Z4" i="57"/>
  <c r="Y3" i="28"/>
  <c r="Y3" i="44"/>
  <c r="Y3" i="57"/>
  <c r="AA42" i="44"/>
  <c r="AA43" i="44" s="1"/>
  <c r="AA63" i="44" s="1"/>
  <c r="AA57" i="44"/>
  <c r="AA58" i="44" s="1"/>
  <c r="AA23" i="44"/>
  <c r="AA25" i="44" s="1"/>
  <c r="AA2" i="44"/>
  <c r="AA2" i="57"/>
  <c r="AA2" i="28"/>
  <c r="AA32" i="44"/>
  <c r="AA33" i="44" s="1"/>
  <c r="AA52" i="44"/>
  <c r="AA53" i="44" s="1"/>
  <c r="AA62" i="44" s="1"/>
  <c r="AA47" i="44"/>
  <c r="AA48" i="44" s="1"/>
  <c r="AC5" i="57"/>
  <c r="AD9" i="44"/>
  <c r="AC10" i="44"/>
  <c r="AC5" i="44"/>
  <c r="AC5" i="28"/>
  <c r="Z10" i="28"/>
  <c r="Z15" i="28" s="1"/>
  <c r="AA12" i="28" s="1"/>
  <c r="AB14" i="44"/>
  <c r="AB15" i="44" s="1"/>
  <c r="AB18" i="44" s="1"/>
  <c r="AB19" i="44" s="1"/>
  <c r="AB24" i="44"/>
  <c r="W17" i="75" l="1"/>
  <c r="W56" i="75"/>
  <c r="W58" i="75" s="1"/>
  <c r="W62" i="75" s="1"/>
  <c r="Z3" i="75"/>
  <c r="Z3" i="74"/>
  <c r="AA4" i="75"/>
  <c r="AA4" i="74"/>
  <c r="AD5" i="75"/>
  <c r="AD5" i="74"/>
  <c r="AB2" i="75"/>
  <c r="AB2" i="74"/>
  <c r="AA58" i="73"/>
  <c r="AA63" i="73" s="1"/>
  <c r="AB60" i="73" s="1"/>
  <c r="AA70" i="73"/>
  <c r="U26" i="71"/>
  <c r="U27" i="71" s="1"/>
  <c r="U28" i="71" s="1"/>
  <c r="U71" i="71" s="1"/>
  <c r="U73" i="71" s="1"/>
  <c r="U75" i="71" s="1"/>
  <c r="U22" i="66" s="1"/>
  <c r="U86" i="66" s="1"/>
  <c r="U15" i="71"/>
  <c r="V50" i="71"/>
  <c r="V51" i="71" s="1"/>
  <c r="V52" i="71" s="1"/>
  <c r="V72" i="71" s="1"/>
  <c r="V38" i="71"/>
  <c r="AA4" i="73"/>
  <c r="AA4" i="71"/>
  <c r="AA4" i="72"/>
  <c r="AD5" i="73"/>
  <c r="AD5" i="72"/>
  <c r="AD5" i="71"/>
  <c r="AD5" i="70"/>
  <c r="AD5" i="69"/>
  <c r="AA48" i="72"/>
  <c r="AA33" i="71"/>
  <c r="AA10" i="71"/>
  <c r="Z3" i="73"/>
  <c r="Z3" i="72"/>
  <c r="Z3" i="71"/>
  <c r="AB2" i="73"/>
  <c r="AB2" i="72"/>
  <c r="AB2" i="71"/>
  <c r="W20" i="66"/>
  <c r="H20" i="66" s="1"/>
  <c r="H131" i="69"/>
  <c r="AB2" i="70"/>
  <c r="AB2" i="69"/>
  <c r="Z3" i="70"/>
  <c r="Z3" i="69"/>
  <c r="AA4" i="69"/>
  <c r="AA4" i="70"/>
  <c r="AA4" i="61"/>
  <c r="AA4" i="66"/>
  <c r="AA4" i="63"/>
  <c r="AD5" i="61"/>
  <c r="AD5" i="63"/>
  <c r="AD5" i="66"/>
  <c r="AB2" i="61"/>
  <c r="AB2" i="63"/>
  <c r="AB2" i="66"/>
  <c r="Z3" i="61"/>
  <c r="Z3" i="66"/>
  <c r="Z3" i="63"/>
  <c r="Z3" i="44"/>
  <c r="Z3" i="28"/>
  <c r="Z3" i="57"/>
  <c r="AD10" i="44"/>
  <c r="AE9" i="44"/>
  <c r="AD5" i="44"/>
  <c r="AD5" i="28"/>
  <c r="AD5" i="57"/>
  <c r="AA10" i="28"/>
  <c r="AA15" i="28" s="1"/>
  <c r="AB12" i="28" s="1"/>
  <c r="AB23" i="44"/>
  <c r="AB25" i="44" s="1"/>
  <c r="AB2" i="28"/>
  <c r="AB42" i="44"/>
  <c r="AB43" i="44" s="1"/>
  <c r="AB63" i="44" s="1"/>
  <c r="AB2" i="57"/>
  <c r="AB57" i="44"/>
  <c r="AB58" i="44" s="1"/>
  <c r="AB47" i="44"/>
  <c r="AB48" i="44" s="1"/>
  <c r="AB52" i="44"/>
  <c r="AB53" i="44" s="1"/>
  <c r="AB62" i="44" s="1"/>
  <c r="AB2" i="44"/>
  <c r="AB32" i="44"/>
  <c r="AB33" i="44" s="1"/>
  <c r="AA4" i="44"/>
  <c r="AA4" i="28"/>
  <c r="AA4" i="57"/>
  <c r="AC14" i="44"/>
  <c r="AC15" i="44" s="1"/>
  <c r="AC18" i="44" s="1"/>
  <c r="AC19" i="44" s="1"/>
  <c r="AC24" i="44"/>
  <c r="AA64" i="44"/>
  <c r="AE5" i="75" l="1"/>
  <c r="AE5" i="74"/>
  <c r="AB4" i="75"/>
  <c r="AB4" i="74"/>
  <c r="AC2" i="75"/>
  <c r="AC2" i="74"/>
  <c r="AA3" i="75"/>
  <c r="AA3" i="74"/>
  <c r="AB58" i="73"/>
  <c r="AB63" i="73" s="1"/>
  <c r="AC60" i="73" s="1"/>
  <c r="AB70" i="73"/>
  <c r="W35" i="71"/>
  <c r="V59" i="71"/>
  <c r="AE5" i="73"/>
  <c r="AE5" i="72"/>
  <c r="AE5" i="69"/>
  <c r="AE5" i="70"/>
  <c r="AE5" i="71"/>
  <c r="V12" i="71"/>
  <c r="U58" i="71"/>
  <c r="U60" i="71" s="1"/>
  <c r="U62" i="71" s="1"/>
  <c r="U52" i="66" s="1"/>
  <c r="AB48" i="72"/>
  <c r="AB33" i="71"/>
  <c r="AB10" i="71"/>
  <c r="AC2" i="73"/>
  <c r="AC2" i="72"/>
  <c r="AC2" i="71"/>
  <c r="AA3" i="73"/>
  <c r="AA3" i="71"/>
  <c r="AA3" i="72"/>
  <c r="AB4" i="73"/>
  <c r="AB4" i="71"/>
  <c r="AB4" i="72"/>
  <c r="AA3" i="70"/>
  <c r="AA3" i="69"/>
  <c r="AB4" i="69"/>
  <c r="AB4" i="70"/>
  <c r="AC2" i="69"/>
  <c r="AC2" i="70"/>
  <c r="AA3" i="61"/>
  <c r="AA3" i="63"/>
  <c r="AA3" i="66"/>
  <c r="AE5" i="61"/>
  <c r="AE5" i="63"/>
  <c r="AE5" i="66"/>
  <c r="AB4" i="61"/>
  <c r="AB4" i="66"/>
  <c r="AB4" i="63"/>
  <c r="AC2" i="61"/>
  <c r="AC2" i="63"/>
  <c r="AC2" i="66"/>
  <c r="AB64" i="44"/>
  <c r="AA3" i="28"/>
  <c r="AA3" i="57"/>
  <c r="AA3" i="44"/>
  <c r="AB10" i="28"/>
  <c r="AB15" i="28" s="1"/>
  <c r="AC12" i="28" s="1"/>
  <c r="AE5" i="28"/>
  <c r="AF9" i="44"/>
  <c r="AE5" i="44"/>
  <c r="AE5" i="57"/>
  <c r="AE10" i="44"/>
  <c r="AB4" i="57"/>
  <c r="AB4" i="28"/>
  <c r="AB4" i="44"/>
  <c r="AC52" i="44"/>
  <c r="AC53" i="44" s="1"/>
  <c r="AC62" i="44" s="1"/>
  <c r="AC57" i="44"/>
  <c r="AC58" i="44" s="1"/>
  <c r="AC42" i="44"/>
  <c r="AC43" i="44" s="1"/>
  <c r="AC63" i="44" s="1"/>
  <c r="AC2" i="44"/>
  <c r="AC47" i="44"/>
  <c r="AC48" i="44" s="1"/>
  <c r="AC2" i="57"/>
  <c r="AC23" i="44"/>
  <c r="AC25" i="44" s="1"/>
  <c r="AC2" i="28"/>
  <c r="AC32" i="44"/>
  <c r="AC33" i="44" s="1"/>
  <c r="AD24" i="44"/>
  <c r="AD14" i="44"/>
  <c r="AD15" i="44" s="1"/>
  <c r="AD18" i="44" s="1"/>
  <c r="AD19" i="44" s="1"/>
  <c r="AB3" i="75" l="1"/>
  <c r="AB3" i="74"/>
  <c r="AF5" i="75"/>
  <c r="AF5" i="74"/>
  <c r="AC4" i="75"/>
  <c r="AC4" i="74"/>
  <c r="AD2" i="75"/>
  <c r="AD2" i="74"/>
  <c r="AC58" i="73"/>
  <c r="AC63" i="73" s="1"/>
  <c r="AD60" i="73" s="1"/>
  <c r="AC70" i="73"/>
  <c r="AC4" i="73"/>
  <c r="AC4" i="72"/>
  <c r="AC4" i="71"/>
  <c r="V26" i="71"/>
  <c r="V27" i="71" s="1"/>
  <c r="V28" i="71" s="1"/>
  <c r="V71" i="71" s="1"/>
  <c r="V73" i="71" s="1"/>
  <c r="V75" i="71" s="1"/>
  <c r="V22" i="66" s="1"/>
  <c r="V15" i="71"/>
  <c r="AB3" i="73"/>
  <c r="AB3" i="71"/>
  <c r="AB3" i="72"/>
  <c r="W50" i="71"/>
  <c r="W38" i="71"/>
  <c r="AF5" i="73"/>
  <c r="AF5" i="70"/>
  <c r="AF5" i="72"/>
  <c r="AF5" i="69"/>
  <c r="AF5" i="71"/>
  <c r="AD2" i="73"/>
  <c r="AD2" i="72"/>
  <c r="AD2" i="71"/>
  <c r="AC48" i="72"/>
  <c r="AC33" i="71"/>
  <c r="AC10" i="71"/>
  <c r="AD2" i="70"/>
  <c r="AD2" i="69"/>
  <c r="AC4" i="69"/>
  <c r="AC4" i="70"/>
  <c r="AB3" i="70"/>
  <c r="AB3" i="69"/>
  <c r="AD2" i="61"/>
  <c r="AD2" i="63"/>
  <c r="AD2" i="66"/>
  <c r="AF5" i="61"/>
  <c r="AF5" i="63"/>
  <c r="AF5" i="66"/>
  <c r="AC4" i="61"/>
  <c r="AC4" i="66"/>
  <c r="AC4" i="63"/>
  <c r="AB3" i="63"/>
  <c r="AB3" i="66"/>
  <c r="AB3" i="44"/>
  <c r="AB3" i="61"/>
  <c r="AB3" i="57"/>
  <c r="AB3" i="28"/>
  <c r="AC4" i="57"/>
  <c r="AC4" i="28"/>
  <c r="AC4" i="44"/>
  <c r="AD57" i="44"/>
  <c r="AD58" i="44" s="1"/>
  <c r="AD32" i="44"/>
  <c r="AD33" i="44" s="1"/>
  <c r="AD52" i="44"/>
  <c r="AD53" i="44" s="1"/>
  <c r="AD62" i="44" s="1"/>
  <c r="AD2" i="57"/>
  <c r="AD42" i="44"/>
  <c r="AD43" i="44" s="1"/>
  <c r="AD63" i="44" s="1"/>
  <c r="AD47" i="44"/>
  <c r="AD48" i="44" s="1"/>
  <c r="AD2" i="28"/>
  <c r="AD2" i="44"/>
  <c r="AD23" i="44"/>
  <c r="AD25" i="44" s="1"/>
  <c r="AC10" i="28"/>
  <c r="AC15" i="28" s="1"/>
  <c r="AD12" i="28" s="1"/>
  <c r="AE14" i="44"/>
  <c r="AE15" i="44" s="1"/>
  <c r="AE18" i="44" s="1"/>
  <c r="AE19" i="44" s="1"/>
  <c r="AE24" i="44"/>
  <c r="AG9" i="44"/>
  <c r="AF5" i="44"/>
  <c r="AF5" i="57"/>
  <c r="AF5" i="28"/>
  <c r="AF10" i="44"/>
  <c r="AC64" i="44"/>
  <c r="AD4" i="75" l="1"/>
  <c r="AD4" i="74"/>
  <c r="AE2" i="75"/>
  <c r="AE2" i="74"/>
  <c r="AG5" i="75"/>
  <c r="AG5" i="74"/>
  <c r="AC3" i="75"/>
  <c r="AC3" i="74"/>
  <c r="AD58" i="73"/>
  <c r="AD63" i="73" s="1"/>
  <c r="AE60" i="73" s="1"/>
  <c r="AD70" i="73"/>
  <c r="W12" i="71"/>
  <c r="V58" i="71"/>
  <c r="V60" i="71" s="1"/>
  <c r="V62" i="71" s="1"/>
  <c r="V52" i="66" s="1"/>
  <c r="V86" i="66"/>
  <c r="AC3" i="73"/>
  <c r="AC3" i="71"/>
  <c r="AC3" i="72"/>
  <c r="AG5" i="73"/>
  <c r="AG5" i="71"/>
  <c r="AG5" i="72"/>
  <c r="AG5" i="69"/>
  <c r="AG5" i="70"/>
  <c r="AE2" i="73"/>
  <c r="AE2" i="72"/>
  <c r="AE2" i="71"/>
  <c r="AD48" i="72"/>
  <c r="AD33" i="71"/>
  <c r="AD10" i="71"/>
  <c r="X35" i="71"/>
  <c r="X38" i="71" s="1"/>
  <c r="Y35" i="71" s="1"/>
  <c r="Y38" i="71" s="1"/>
  <c r="Z35" i="71" s="1"/>
  <c r="Z38" i="71" s="1"/>
  <c r="AA35" i="71" s="1"/>
  <c r="AA38" i="71" s="1"/>
  <c r="AB35" i="71" s="1"/>
  <c r="AB38" i="71" s="1"/>
  <c r="AC35" i="71" s="1"/>
  <c r="AC38" i="71" s="1"/>
  <c r="AD35" i="71" s="1"/>
  <c r="W59" i="71"/>
  <c r="AD4" i="73"/>
  <c r="AD4" i="72"/>
  <c r="AD4" i="71"/>
  <c r="W51" i="71"/>
  <c r="H50" i="71"/>
  <c r="AC3" i="70"/>
  <c r="AC3" i="69"/>
  <c r="AE2" i="70"/>
  <c r="AE2" i="69"/>
  <c r="AD4" i="69"/>
  <c r="AD4" i="70"/>
  <c r="AD4" i="61"/>
  <c r="AD4" i="66"/>
  <c r="AD4" i="63"/>
  <c r="AE2" i="61"/>
  <c r="AE2" i="63"/>
  <c r="AE2" i="66"/>
  <c r="AC3" i="61"/>
  <c r="AC3" i="66"/>
  <c r="AC3" i="63"/>
  <c r="AG5" i="61"/>
  <c r="AG5" i="63"/>
  <c r="AG5" i="66"/>
  <c r="AC3" i="28"/>
  <c r="AC3" i="57"/>
  <c r="AC3" i="44"/>
  <c r="AD4" i="44"/>
  <c r="AD4" i="57"/>
  <c r="AD4" i="28"/>
  <c r="AF14" i="44"/>
  <c r="AF15" i="44" s="1"/>
  <c r="AF18" i="44" s="1"/>
  <c r="AF19" i="44" s="1"/>
  <c r="AF24" i="44"/>
  <c r="AG5" i="28"/>
  <c r="AG5" i="57"/>
  <c r="AG10" i="44"/>
  <c r="AH9" i="44"/>
  <c r="AG5" i="44"/>
  <c r="AD10" i="28"/>
  <c r="AD15" i="28" s="1"/>
  <c r="AE12" i="28" s="1"/>
  <c r="AE57" i="44"/>
  <c r="AE58" i="44" s="1"/>
  <c r="AE32" i="44"/>
  <c r="AE33" i="44" s="1"/>
  <c r="AE47" i="44"/>
  <c r="AE48" i="44" s="1"/>
  <c r="AE42" i="44"/>
  <c r="AE43" i="44" s="1"/>
  <c r="AE63" i="44" s="1"/>
  <c r="AE2" i="44"/>
  <c r="AE52" i="44"/>
  <c r="AE53" i="44" s="1"/>
  <c r="AE62" i="44" s="1"/>
  <c r="AE2" i="57"/>
  <c r="AE23" i="44"/>
  <c r="AE25" i="44" s="1"/>
  <c r="AE2" i="28"/>
  <c r="AD64" i="44"/>
  <c r="AD38" i="71" l="1"/>
  <c r="AE35" i="71" s="1"/>
  <c r="AF2" i="75"/>
  <c r="AF2" i="74"/>
  <c r="AH5" i="75"/>
  <c r="AH5" i="74"/>
  <c r="AE4" i="75"/>
  <c r="AE4" i="74"/>
  <c r="AD3" i="75"/>
  <c r="AD3" i="74"/>
  <c r="AE58" i="73"/>
  <c r="AE63" i="73" s="1"/>
  <c r="AF60" i="73" s="1"/>
  <c r="AE70" i="73"/>
  <c r="W26" i="71"/>
  <c r="W27" i="71" s="1"/>
  <c r="W15" i="71"/>
  <c r="AH5" i="73"/>
  <c r="AH5" i="71"/>
  <c r="AH5" i="72"/>
  <c r="AH5" i="70"/>
  <c r="AH5" i="69"/>
  <c r="W52" i="71"/>
  <c r="H51" i="71"/>
  <c r="AE48" i="72"/>
  <c r="AE33" i="71"/>
  <c r="AE38" i="71" s="1"/>
  <c r="AF35" i="71" s="1"/>
  <c r="AE10" i="71"/>
  <c r="AD3" i="73"/>
  <c r="AD3" i="71"/>
  <c r="AD3" i="72"/>
  <c r="AF2" i="73"/>
  <c r="AF2" i="71"/>
  <c r="AF2" i="72"/>
  <c r="AE4" i="73"/>
  <c r="AE4" i="72"/>
  <c r="AE4" i="71"/>
  <c r="AF2" i="70"/>
  <c r="AF2" i="69"/>
  <c r="AE4" i="69"/>
  <c r="AE4" i="70"/>
  <c r="AD3" i="70"/>
  <c r="AD3" i="69"/>
  <c r="AD3" i="61"/>
  <c r="AD3" i="66"/>
  <c r="AD3" i="63"/>
  <c r="AE4" i="61"/>
  <c r="AE4" i="66"/>
  <c r="AE4" i="63"/>
  <c r="AF2" i="61"/>
  <c r="AF2" i="66"/>
  <c r="AF2" i="63"/>
  <c r="AH5" i="61"/>
  <c r="AH5" i="63"/>
  <c r="AH5" i="66"/>
  <c r="AE4" i="57"/>
  <c r="AE4" i="28"/>
  <c r="AE4" i="44"/>
  <c r="AH5" i="44"/>
  <c r="AI9" i="44"/>
  <c r="AH5" i="28"/>
  <c r="AH5" i="57"/>
  <c r="AH10" i="44"/>
  <c r="AF23" i="44"/>
  <c r="AF25" i="44" s="1"/>
  <c r="AF2" i="57"/>
  <c r="AF52" i="44"/>
  <c r="AF53" i="44" s="1"/>
  <c r="AF62" i="44" s="1"/>
  <c r="AF32" i="44"/>
  <c r="AF33" i="44" s="1"/>
  <c r="AF2" i="44"/>
  <c r="AF42" i="44"/>
  <c r="AF43" i="44" s="1"/>
  <c r="AF63" i="44" s="1"/>
  <c r="AF2" i="28"/>
  <c r="AF57" i="44"/>
  <c r="AF58" i="44" s="1"/>
  <c r="AF47" i="44"/>
  <c r="AF48" i="44" s="1"/>
  <c r="AE64" i="44"/>
  <c r="AE10" i="28"/>
  <c r="AE15" i="28" s="1"/>
  <c r="AF12" i="28" s="1"/>
  <c r="AD3" i="57"/>
  <c r="AD3" i="28"/>
  <c r="AD3" i="44"/>
  <c r="AG14" i="44"/>
  <c r="AG15" i="44" s="1"/>
  <c r="AG18" i="44" s="1"/>
  <c r="AG19" i="44" s="1"/>
  <c r="AG24" i="44"/>
  <c r="AI5" i="75" l="1"/>
  <c r="AI5" i="74"/>
  <c r="AF4" i="75"/>
  <c r="AF4" i="74"/>
  <c r="AE3" i="75"/>
  <c r="AE3" i="74"/>
  <c r="AG2" i="75"/>
  <c r="AG2" i="74"/>
  <c r="AF58" i="73"/>
  <c r="AF63" i="73" s="1"/>
  <c r="AG60" i="73" s="1"/>
  <c r="AF70" i="73"/>
  <c r="AG2" i="73"/>
  <c r="AG2" i="71"/>
  <c r="AG2" i="72"/>
  <c r="X12" i="71"/>
  <c r="X15" i="71" s="1"/>
  <c r="Y12" i="71" s="1"/>
  <c r="Y15" i="71" s="1"/>
  <c r="Z12" i="71" s="1"/>
  <c r="Z15" i="71" s="1"/>
  <c r="AA12" i="71" s="1"/>
  <c r="AA15" i="71" s="1"/>
  <c r="AB12" i="71" s="1"/>
  <c r="AB15" i="71" s="1"/>
  <c r="AC12" i="71" s="1"/>
  <c r="AC15" i="71" s="1"/>
  <c r="AD12" i="71" s="1"/>
  <c r="AD15" i="71" s="1"/>
  <c r="AE12" i="71" s="1"/>
  <c r="AE15" i="71" s="1"/>
  <c r="AF12" i="71" s="1"/>
  <c r="W58" i="71"/>
  <c r="W60" i="71" s="1"/>
  <c r="W62" i="71" s="1"/>
  <c r="W28" i="71"/>
  <c r="H27" i="71"/>
  <c r="AI5" i="73"/>
  <c r="AI5" i="71"/>
  <c r="AI5" i="72"/>
  <c r="AI5" i="70"/>
  <c r="AI5" i="69"/>
  <c r="AE3" i="73"/>
  <c r="AE3" i="71"/>
  <c r="AE3" i="72"/>
  <c r="AF48" i="72"/>
  <c r="AF10" i="71"/>
  <c r="AF33" i="71"/>
  <c r="AF38" i="71" s="1"/>
  <c r="AG35" i="71" s="1"/>
  <c r="H52" i="71"/>
  <c r="H72" i="71" s="1"/>
  <c r="W72" i="71"/>
  <c r="AF4" i="73"/>
  <c r="AF4" i="72"/>
  <c r="AF4" i="71"/>
  <c r="AF4" i="69"/>
  <c r="AF4" i="70"/>
  <c r="AG2" i="70"/>
  <c r="AG2" i="69"/>
  <c r="AE3" i="69"/>
  <c r="AE3" i="70"/>
  <c r="AE3" i="61"/>
  <c r="AE3" i="66"/>
  <c r="AE3" i="63"/>
  <c r="AF4" i="61"/>
  <c r="AF4" i="63"/>
  <c r="AF4" i="66"/>
  <c r="AG2" i="61"/>
  <c r="AG2" i="63"/>
  <c r="AG2" i="66"/>
  <c r="AI5" i="61"/>
  <c r="AI5" i="66"/>
  <c r="AI5" i="63"/>
  <c r="AE3" i="28"/>
  <c r="AE3" i="44"/>
  <c r="AE3" i="57"/>
  <c r="AH24" i="44"/>
  <c r="AH14" i="44"/>
  <c r="AH15" i="44" s="1"/>
  <c r="AH18" i="44" s="1"/>
  <c r="AH19" i="44" s="1"/>
  <c r="AF4" i="44"/>
  <c r="AF4" i="28"/>
  <c r="AF4" i="57"/>
  <c r="AF10" i="28"/>
  <c r="AF15" i="28" s="1"/>
  <c r="AG12" i="28" s="1"/>
  <c r="AI5" i="44"/>
  <c r="AJ9" i="44"/>
  <c r="AI10" i="44"/>
  <c r="AI5" i="57"/>
  <c r="AI5" i="28"/>
  <c r="AF64" i="44"/>
  <c r="AG47" i="44"/>
  <c r="AG48" i="44" s="1"/>
  <c r="AG57" i="44"/>
  <c r="AG58" i="44" s="1"/>
  <c r="AG2" i="28"/>
  <c r="AG42" i="44"/>
  <c r="AG43" i="44" s="1"/>
  <c r="AG63" i="44" s="1"/>
  <c r="AG52" i="44"/>
  <c r="AG53" i="44" s="1"/>
  <c r="AG62" i="44" s="1"/>
  <c r="AG23" i="44"/>
  <c r="AG25" i="44" s="1"/>
  <c r="AG2" i="44"/>
  <c r="AG32" i="44"/>
  <c r="AG33" i="44" s="1"/>
  <c r="AG2" i="57"/>
  <c r="AH2" i="75" l="1"/>
  <c r="AH2" i="74"/>
  <c r="AJ5" i="75"/>
  <c r="AJ5" i="74"/>
  <c r="AF3" i="75"/>
  <c r="AF3" i="74"/>
  <c r="AG4" i="75"/>
  <c r="AG4" i="74"/>
  <c r="AG70" i="73"/>
  <c r="AG58" i="73"/>
  <c r="AG63" i="73" s="1"/>
  <c r="AH60" i="73" s="1"/>
  <c r="AF3" i="73"/>
  <c r="AF3" i="71"/>
  <c r="AF3" i="72"/>
  <c r="H28" i="71"/>
  <c r="H71" i="71" s="1"/>
  <c r="W71" i="71"/>
  <c r="W73" i="71" s="1"/>
  <c r="AJ5" i="73"/>
  <c r="AJ5" i="71"/>
  <c r="AJ5" i="72"/>
  <c r="AJ5" i="70"/>
  <c r="AJ5" i="69"/>
  <c r="W52" i="66"/>
  <c r="H62" i="71"/>
  <c r="AF15" i="71"/>
  <c r="AG12" i="71" s="1"/>
  <c r="AG48" i="72"/>
  <c r="AG33" i="71"/>
  <c r="AG38" i="71" s="1"/>
  <c r="AH35" i="71" s="1"/>
  <c r="AG10" i="71"/>
  <c r="AH2" i="73"/>
  <c r="AH2" i="71"/>
  <c r="AH2" i="72"/>
  <c r="AG4" i="73"/>
  <c r="AG4" i="72"/>
  <c r="AG4" i="71"/>
  <c r="AH2" i="70"/>
  <c r="AH2" i="69"/>
  <c r="AG4" i="70"/>
  <c r="AG4" i="69"/>
  <c r="AF3" i="69"/>
  <c r="AF3" i="70"/>
  <c r="AF3" i="61"/>
  <c r="AF3" i="66"/>
  <c r="AF3" i="63"/>
  <c r="AG4" i="61"/>
  <c r="AG4" i="63"/>
  <c r="AG4" i="66"/>
  <c r="AH2" i="61"/>
  <c r="AH2" i="66"/>
  <c r="AH2" i="63"/>
  <c r="AJ5" i="61"/>
  <c r="AJ5" i="66"/>
  <c r="AJ5" i="63"/>
  <c r="AG4" i="57"/>
  <c r="AG4" i="28"/>
  <c r="AG4" i="44"/>
  <c r="AG10" i="28"/>
  <c r="AG15" i="28" s="1"/>
  <c r="AH12" i="28" s="1"/>
  <c r="AF3" i="44"/>
  <c r="AF3" i="57"/>
  <c r="AF3" i="28"/>
  <c r="AG64" i="44"/>
  <c r="AJ5" i="57"/>
  <c r="AJ5" i="28"/>
  <c r="AK9" i="44"/>
  <c r="AJ10" i="44"/>
  <c r="AJ5" i="44"/>
  <c r="AI14" i="44"/>
  <c r="AI15" i="44" s="1"/>
  <c r="AI18" i="44" s="1"/>
  <c r="AI19" i="44" s="1"/>
  <c r="AI24" i="44"/>
  <c r="AH57" i="44"/>
  <c r="AH58" i="44" s="1"/>
  <c r="AH2" i="57"/>
  <c r="AH47" i="44"/>
  <c r="AH48" i="44" s="1"/>
  <c r="AH52" i="44"/>
  <c r="AH53" i="44" s="1"/>
  <c r="AH62" i="44" s="1"/>
  <c r="AH2" i="28"/>
  <c r="AH42" i="44"/>
  <c r="AH43" i="44" s="1"/>
  <c r="AH63" i="44" s="1"/>
  <c r="AH32" i="44"/>
  <c r="AH33" i="44" s="1"/>
  <c r="AH23" i="44"/>
  <c r="AH25" i="44" s="1"/>
  <c r="AH2" i="44"/>
  <c r="AG3" i="75" l="1"/>
  <c r="AG3" i="74"/>
  <c r="AK5" i="75"/>
  <c r="AK5" i="74"/>
  <c r="AI2" i="75"/>
  <c r="AI2" i="74"/>
  <c r="AH4" i="75"/>
  <c r="AH4" i="74"/>
  <c r="AH70" i="73"/>
  <c r="AH58" i="73"/>
  <c r="AH63" i="73" s="1"/>
  <c r="AI60" i="73" s="1"/>
  <c r="H73" i="71"/>
  <c r="W75" i="71"/>
  <c r="AH4" i="73"/>
  <c r="AH4" i="72"/>
  <c r="AH4" i="71"/>
  <c r="AG15" i="71"/>
  <c r="AH12" i="71" s="1"/>
  <c r="AG3" i="73"/>
  <c r="AG3" i="71"/>
  <c r="AG3" i="72"/>
  <c r="AK5" i="73"/>
  <c r="AK5" i="71"/>
  <c r="AK5" i="70"/>
  <c r="AK5" i="72"/>
  <c r="AK5" i="69"/>
  <c r="AH48" i="72"/>
  <c r="AH33" i="71"/>
  <c r="AH38" i="71" s="1"/>
  <c r="AI35" i="71" s="1"/>
  <c r="AH10" i="71"/>
  <c r="AI2" i="73"/>
  <c r="AI2" i="71"/>
  <c r="AI2" i="72"/>
  <c r="AH4" i="69"/>
  <c r="AH4" i="70"/>
  <c r="AI2" i="70"/>
  <c r="AI2" i="69"/>
  <c r="AG3" i="69"/>
  <c r="AG3" i="70"/>
  <c r="AI2" i="61"/>
  <c r="AI2" i="66"/>
  <c r="AI2" i="63"/>
  <c r="AK5" i="61"/>
  <c r="AK5" i="66"/>
  <c r="AK5" i="63"/>
  <c r="AG3" i="61"/>
  <c r="AG3" i="66"/>
  <c r="AG3" i="63"/>
  <c r="AH4" i="61"/>
  <c r="AH4" i="63"/>
  <c r="AH4" i="66"/>
  <c r="AH64" i="44"/>
  <c r="AH4" i="28"/>
  <c r="AH4" i="57"/>
  <c r="AH4" i="44"/>
  <c r="AI42" i="44"/>
  <c r="AI43" i="44" s="1"/>
  <c r="AI63" i="44" s="1"/>
  <c r="AI52" i="44"/>
  <c r="AI53" i="44" s="1"/>
  <c r="AI62" i="44" s="1"/>
  <c r="AI23" i="44"/>
  <c r="AI25" i="44" s="1"/>
  <c r="AI47" i="44"/>
  <c r="AI48" i="44" s="1"/>
  <c r="AI57" i="44"/>
  <c r="AI58" i="44" s="1"/>
  <c r="AI2" i="57"/>
  <c r="AI2" i="28"/>
  <c r="AI2" i="44"/>
  <c r="AI32" i="44"/>
  <c r="AI33" i="44" s="1"/>
  <c r="AJ14" i="44"/>
  <c r="AJ15" i="44" s="1"/>
  <c r="AJ18" i="44" s="1"/>
  <c r="AJ19" i="44" s="1"/>
  <c r="AJ24" i="44"/>
  <c r="AH10" i="28"/>
  <c r="AH15" i="28" s="1"/>
  <c r="AI12" i="28" s="1"/>
  <c r="AK10" i="44"/>
  <c r="AK5" i="44"/>
  <c r="AK5" i="28"/>
  <c r="AL9" i="44"/>
  <c r="AK5" i="57"/>
  <c r="AG3" i="57"/>
  <c r="AG3" i="28"/>
  <c r="AG3" i="44"/>
  <c r="AH15" i="71" l="1"/>
  <c r="AI12" i="71" s="1"/>
  <c r="AH3" i="75"/>
  <c r="AH3" i="74"/>
  <c r="AI4" i="75"/>
  <c r="AI4" i="74"/>
  <c r="AJ2" i="75"/>
  <c r="AJ2" i="74"/>
  <c r="AL5" i="75"/>
  <c r="AL5" i="74"/>
  <c r="AI70" i="73"/>
  <c r="AI58" i="73"/>
  <c r="AI63" i="73" s="1"/>
  <c r="AJ60" i="73" s="1"/>
  <c r="AJ2" i="73"/>
  <c r="AJ2" i="71"/>
  <c r="AJ2" i="72"/>
  <c r="AI48" i="72"/>
  <c r="AI33" i="71"/>
  <c r="AI38" i="71" s="1"/>
  <c r="AJ35" i="71" s="1"/>
  <c r="AI10" i="71"/>
  <c r="AI4" i="73"/>
  <c r="AI4" i="72"/>
  <c r="AI4" i="71"/>
  <c r="AH3" i="73"/>
  <c r="AH3" i="72"/>
  <c r="AH3" i="71"/>
  <c r="W22" i="66"/>
  <c r="H22" i="66" s="1"/>
  <c r="H75" i="71"/>
  <c r="AL5" i="73"/>
  <c r="AL5" i="71"/>
  <c r="AL5" i="70"/>
  <c r="AL5" i="72"/>
  <c r="AL5" i="69"/>
  <c r="AJ2" i="69"/>
  <c r="AJ2" i="70"/>
  <c r="AI4" i="69"/>
  <c r="AI4" i="70"/>
  <c r="AH3" i="69"/>
  <c r="AH3" i="70"/>
  <c r="AJ2" i="61"/>
  <c r="AJ2" i="66"/>
  <c r="AJ2" i="63"/>
  <c r="AL5" i="61"/>
  <c r="AL5" i="66"/>
  <c r="AL5" i="63"/>
  <c r="AH3" i="61"/>
  <c r="AH3" i="66"/>
  <c r="AH3" i="63"/>
  <c r="AI4" i="61"/>
  <c r="AI4" i="63"/>
  <c r="AI4" i="66"/>
  <c r="AH3" i="44"/>
  <c r="AI64" i="44"/>
  <c r="AH3" i="57"/>
  <c r="AH3" i="28"/>
  <c r="AI4" i="44"/>
  <c r="AI4" i="28"/>
  <c r="AI4" i="57"/>
  <c r="AL5" i="57"/>
  <c r="AL5" i="28"/>
  <c r="AL5" i="44"/>
  <c r="AL10" i="44"/>
  <c r="AM9" i="44"/>
  <c r="AI10" i="28"/>
  <c r="AI15" i="28" s="1"/>
  <c r="AJ12" i="28" s="1"/>
  <c r="AK14" i="44"/>
  <c r="AK15" i="44" s="1"/>
  <c r="AK18" i="44" s="1"/>
  <c r="AK19" i="44" s="1"/>
  <c r="AK24" i="44"/>
  <c r="AJ52" i="44"/>
  <c r="AJ53" i="44" s="1"/>
  <c r="AJ62" i="44" s="1"/>
  <c r="AJ2" i="44"/>
  <c r="AJ32" i="44"/>
  <c r="AJ33" i="44" s="1"/>
  <c r="AJ47" i="44"/>
  <c r="AJ48" i="44" s="1"/>
  <c r="AJ57" i="44"/>
  <c r="AJ58" i="44" s="1"/>
  <c r="AJ2" i="28"/>
  <c r="AJ2" i="57"/>
  <c r="AJ23" i="44"/>
  <c r="AJ25" i="44" s="1"/>
  <c r="AJ42" i="44"/>
  <c r="AJ43" i="44" s="1"/>
  <c r="AJ63" i="44" s="1"/>
  <c r="AI15" i="71" l="1"/>
  <c r="AJ12" i="71" s="1"/>
  <c r="AI3" i="75"/>
  <c r="AI3" i="74"/>
  <c r="AM5" i="75"/>
  <c r="AM5" i="74"/>
  <c r="AK2" i="75"/>
  <c r="AK2" i="74"/>
  <c r="AJ4" i="75"/>
  <c r="AJ4" i="74"/>
  <c r="AJ70" i="73"/>
  <c r="AJ58" i="73"/>
  <c r="AJ63" i="73" s="1"/>
  <c r="AK60" i="73" s="1"/>
  <c r="AJ4" i="73"/>
  <c r="AJ4" i="72"/>
  <c r="AJ4" i="71"/>
  <c r="AI3" i="73"/>
  <c r="AI3" i="72"/>
  <c r="AI3" i="71"/>
  <c r="W86" i="66"/>
  <c r="H86" i="66" s="1"/>
  <c r="AK2" i="73"/>
  <c r="AK2" i="71"/>
  <c r="AK2" i="72"/>
  <c r="AJ48" i="72"/>
  <c r="AJ33" i="71"/>
  <c r="AJ38" i="71" s="1"/>
  <c r="AK35" i="71" s="1"/>
  <c r="AJ10" i="71"/>
  <c r="AM5" i="73"/>
  <c r="AM5" i="71"/>
  <c r="AM5" i="70"/>
  <c r="AM5" i="72"/>
  <c r="AM5" i="69"/>
  <c r="AJ4" i="70"/>
  <c r="AJ4" i="69"/>
  <c r="AK2" i="69"/>
  <c r="AK2" i="70"/>
  <c r="AI3" i="69"/>
  <c r="AI3" i="70"/>
  <c r="AJ4" i="61"/>
  <c r="AJ4" i="63"/>
  <c r="AJ4" i="66"/>
  <c r="AI3" i="61"/>
  <c r="AI3" i="66"/>
  <c r="AI3" i="63"/>
  <c r="AM5" i="61"/>
  <c r="AM5" i="66"/>
  <c r="AM5" i="63"/>
  <c r="AK2" i="61"/>
  <c r="AK2" i="66"/>
  <c r="AK2" i="63"/>
  <c r="AI3" i="44"/>
  <c r="AJ64" i="44"/>
  <c r="AI3" i="28"/>
  <c r="AI3" i="57"/>
  <c r="AJ4" i="44"/>
  <c r="AJ4" i="28"/>
  <c r="AJ4" i="57"/>
  <c r="AJ10" i="28"/>
  <c r="AJ15" i="28" s="1"/>
  <c r="AK12" i="28" s="1"/>
  <c r="AM10" i="44"/>
  <c r="AM5" i="44"/>
  <c r="AN9" i="44"/>
  <c r="AM5" i="57"/>
  <c r="AM5" i="28"/>
  <c r="AK42" i="44"/>
  <c r="AK43" i="44" s="1"/>
  <c r="AK63" i="44" s="1"/>
  <c r="AK57" i="44"/>
  <c r="AK58" i="44" s="1"/>
  <c r="AK32" i="44"/>
  <c r="AK33" i="44" s="1"/>
  <c r="AK23" i="44"/>
  <c r="AK25" i="44" s="1"/>
  <c r="AK2" i="57"/>
  <c r="AK2" i="44"/>
  <c r="AK47" i="44"/>
  <c r="AK48" i="44" s="1"/>
  <c r="AK52" i="44"/>
  <c r="AK53" i="44" s="1"/>
  <c r="AK62" i="44" s="1"/>
  <c r="AK2" i="28"/>
  <c r="AL14" i="44"/>
  <c r="AL15" i="44" s="1"/>
  <c r="AL18" i="44" s="1"/>
  <c r="AL19" i="44" s="1"/>
  <c r="AL24" i="44"/>
  <c r="AJ15" i="71" l="1"/>
  <c r="AK12" i="71" s="1"/>
  <c r="AJ3" i="75"/>
  <c r="AJ3" i="74"/>
  <c r="AN5" i="75"/>
  <c r="AN5" i="74"/>
  <c r="AK4" i="75"/>
  <c r="AK4" i="74"/>
  <c r="AL2" i="75"/>
  <c r="AL2" i="74"/>
  <c r="AK58" i="73"/>
  <c r="AK63" i="73" s="1"/>
  <c r="AL60" i="73" s="1"/>
  <c r="AK70" i="73"/>
  <c r="AN5" i="73"/>
  <c r="AN5" i="70"/>
  <c r="AN5" i="72"/>
  <c r="AN5" i="69"/>
  <c r="AN5" i="71"/>
  <c r="AJ3" i="73"/>
  <c r="AJ3" i="72"/>
  <c r="AJ3" i="71"/>
  <c r="AK4" i="73"/>
  <c r="AK4" i="72"/>
  <c r="AK4" i="71"/>
  <c r="AK48" i="72"/>
  <c r="AK33" i="71"/>
  <c r="AK38" i="71" s="1"/>
  <c r="AL35" i="71" s="1"/>
  <c r="AK10" i="71"/>
  <c r="AK15" i="71" s="1"/>
  <c r="AL12" i="71" s="1"/>
  <c r="AL2" i="73"/>
  <c r="AL2" i="71"/>
  <c r="AL2" i="72"/>
  <c r="AL2" i="69"/>
  <c r="AL2" i="70"/>
  <c r="AK4" i="70"/>
  <c r="AK4" i="69"/>
  <c r="AJ3" i="69"/>
  <c r="AJ3" i="70"/>
  <c r="AK4" i="61"/>
  <c r="AK4" i="63"/>
  <c r="AK4" i="66"/>
  <c r="AJ3" i="66"/>
  <c r="AJ3" i="63"/>
  <c r="AN5" i="61"/>
  <c r="AN5" i="66"/>
  <c r="AN5" i="63"/>
  <c r="AL2" i="61"/>
  <c r="AL2" i="66"/>
  <c r="AL2" i="63"/>
  <c r="AJ3" i="57"/>
  <c r="AJ3" i="61"/>
  <c r="AK64" i="44"/>
  <c r="AJ3" i="44"/>
  <c r="AJ3" i="28"/>
  <c r="AK10" i="28"/>
  <c r="AK15" i="28" s="1"/>
  <c r="AL12" i="28" s="1"/>
  <c r="AN5" i="28"/>
  <c r="AN5" i="57"/>
  <c r="AN5" i="44"/>
  <c r="AN10" i="44"/>
  <c r="AO9" i="44"/>
  <c r="AK4" i="44"/>
  <c r="AK4" i="57"/>
  <c r="AK4" i="28"/>
  <c r="AM14" i="44"/>
  <c r="AM15" i="44" s="1"/>
  <c r="AM18" i="44" s="1"/>
  <c r="AM19" i="44" s="1"/>
  <c r="AM24" i="44"/>
  <c r="AL2" i="44"/>
  <c r="AL42" i="44"/>
  <c r="AL43" i="44" s="1"/>
  <c r="AL63" i="44" s="1"/>
  <c r="AL32" i="44"/>
  <c r="AL33" i="44" s="1"/>
  <c r="AL52" i="44"/>
  <c r="AL53" i="44" s="1"/>
  <c r="AL62" i="44" s="1"/>
  <c r="AL23" i="44"/>
  <c r="AL25" i="44" s="1"/>
  <c r="AL57" i="44"/>
  <c r="AL58" i="44" s="1"/>
  <c r="AL47" i="44"/>
  <c r="AL48" i="44" s="1"/>
  <c r="AL2" i="28"/>
  <c r="AL2" i="57"/>
  <c r="AK3" i="75" l="1"/>
  <c r="AK3" i="74"/>
  <c r="AO5" i="75"/>
  <c r="AO5" i="74"/>
  <c r="AM2" i="75"/>
  <c r="AM2" i="74"/>
  <c r="AL4" i="75"/>
  <c r="AL4" i="74"/>
  <c r="AL70" i="73"/>
  <c r="AL58" i="73"/>
  <c r="AL63" i="73" s="1"/>
  <c r="AM60" i="73" s="1"/>
  <c r="AL4" i="73"/>
  <c r="AL4" i="71"/>
  <c r="AL4" i="72"/>
  <c r="AO5" i="73"/>
  <c r="AO5" i="70"/>
  <c r="AO5" i="72"/>
  <c r="AO5" i="71"/>
  <c r="AO5" i="69"/>
  <c r="AK3" i="73"/>
  <c r="AK3" i="72"/>
  <c r="AK3" i="71"/>
  <c r="AL48" i="72"/>
  <c r="AL33" i="71"/>
  <c r="AL38" i="71" s="1"/>
  <c r="AM35" i="71" s="1"/>
  <c r="AL10" i="71"/>
  <c r="AL15" i="71" s="1"/>
  <c r="AM12" i="71" s="1"/>
  <c r="AM2" i="73"/>
  <c r="AM2" i="72"/>
  <c r="AM2" i="71"/>
  <c r="AM2" i="69"/>
  <c r="AM2" i="70"/>
  <c r="AL4" i="70"/>
  <c r="AL4" i="69"/>
  <c r="AK3" i="69"/>
  <c r="AK3" i="70"/>
  <c r="AM2" i="61"/>
  <c r="AM2" i="66"/>
  <c r="AM2" i="63"/>
  <c r="AK3" i="61"/>
  <c r="AK3" i="63"/>
  <c r="AK3" i="66"/>
  <c r="AL4" i="61"/>
  <c r="AL4" i="66"/>
  <c r="AL4" i="63"/>
  <c r="AO5" i="61"/>
  <c r="AO5" i="66"/>
  <c r="AO5" i="63"/>
  <c r="AK3" i="28"/>
  <c r="AK3" i="44"/>
  <c r="AK3" i="57"/>
  <c r="AL4" i="57"/>
  <c r="AL4" i="28"/>
  <c r="AL4" i="44"/>
  <c r="AN14" i="44"/>
  <c r="AN15" i="44" s="1"/>
  <c r="AN18" i="44" s="1"/>
  <c r="AN19" i="44" s="1"/>
  <c r="AN24" i="44"/>
  <c r="AM2" i="44"/>
  <c r="AM42" i="44"/>
  <c r="AM43" i="44" s="1"/>
  <c r="AM63" i="44" s="1"/>
  <c r="AM52" i="44"/>
  <c r="AM53" i="44" s="1"/>
  <c r="AM62" i="44" s="1"/>
  <c r="AM47" i="44"/>
  <c r="AM48" i="44" s="1"/>
  <c r="AM32" i="44"/>
  <c r="AM33" i="44" s="1"/>
  <c r="AM2" i="28"/>
  <c r="AM57" i="44"/>
  <c r="AM58" i="44" s="1"/>
  <c r="AM23" i="44"/>
  <c r="AM25" i="44" s="1"/>
  <c r="AM2" i="57"/>
  <c r="AL10" i="28"/>
  <c r="AL15" i="28" s="1"/>
  <c r="AM12" i="28" s="1"/>
  <c r="AO5" i="57"/>
  <c r="AO5" i="28"/>
  <c r="AO5" i="44"/>
  <c r="AO10" i="44"/>
  <c r="AP9" i="44"/>
  <c r="AL64" i="44"/>
  <c r="AN2" i="75" l="1"/>
  <c r="AN2" i="74"/>
  <c r="AM4" i="75"/>
  <c r="AM4" i="74"/>
  <c r="AP5" i="75"/>
  <c r="AP5" i="74"/>
  <c r="AL3" i="75"/>
  <c r="AL3" i="74"/>
  <c r="AM70" i="73"/>
  <c r="AM58" i="73"/>
  <c r="AM63" i="73" s="1"/>
  <c r="AN60" i="73" s="1"/>
  <c r="AN2" i="73"/>
  <c r="AN2" i="72"/>
  <c r="AN2" i="71"/>
  <c r="AL3" i="73"/>
  <c r="AL3" i="72"/>
  <c r="AL3" i="71"/>
  <c r="AP5" i="73"/>
  <c r="AP5" i="72"/>
  <c r="AP5" i="70"/>
  <c r="AP5" i="69"/>
  <c r="AP5" i="71"/>
  <c r="AM4" i="73"/>
  <c r="AM4" i="71"/>
  <c r="AM4" i="72"/>
  <c r="AM48" i="72"/>
  <c r="AM10" i="71"/>
  <c r="AM15" i="71" s="1"/>
  <c r="AN12" i="71" s="1"/>
  <c r="AM33" i="71"/>
  <c r="AM38" i="71" s="1"/>
  <c r="AN35" i="71" s="1"/>
  <c r="AL3" i="70"/>
  <c r="AL3" i="69"/>
  <c r="AN2" i="69"/>
  <c r="AN2" i="70"/>
  <c r="AM4" i="70"/>
  <c r="AM4" i="69"/>
  <c r="AM4" i="61"/>
  <c r="AM4" i="66"/>
  <c r="AM4" i="63"/>
  <c r="AN2" i="61"/>
  <c r="AN2" i="66"/>
  <c r="AN2" i="63"/>
  <c r="AL3" i="61"/>
  <c r="AL3" i="63"/>
  <c r="AL3" i="66"/>
  <c r="AP5" i="61"/>
  <c r="AP5" i="66"/>
  <c r="AP5" i="63"/>
  <c r="AM64" i="44"/>
  <c r="AN23" i="44"/>
  <c r="AN25" i="44" s="1"/>
  <c r="AN32" i="44"/>
  <c r="AN33" i="44" s="1"/>
  <c r="AN2" i="57"/>
  <c r="AN47" i="44"/>
  <c r="AN48" i="44" s="1"/>
  <c r="AN2" i="28"/>
  <c r="AN57" i="44"/>
  <c r="AN58" i="44" s="1"/>
  <c r="AN42" i="44"/>
  <c r="AN43" i="44" s="1"/>
  <c r="AN63" i="44" s="1"/>
  <c r="AN52" i="44"/>
  <c r="AN53" i="44" s="1"/>
  <c r="AN62" i="44" s="1"/>
  <c r="AN2" i="44"/>
  <c r="AL3" i="28"/>
  <c r="AL3" i="44"/>
  <c r="AL3" i="57"/>
  <c r="AM10" i="28"/>
  <c r="AM15" i="28" s="1"/>
  <c r="AN12" i="28" s="1"/>
  <c r="AM4" i="44"/>
  <c r="AM4" i="28"/>
  <c r="AM4" i="57"/>
  <c r="AQ9" i="44"/>
  <c r="AP5" i="57"/>
  <c r="AP5" i="44"/>
  <c r="AP5" i="28"/>
  <c r="AP10" i="44"/>
  <c r="AO14" i="44"/>
  <c r="AO15" i="44" s="1"/>
  <c r="AO18" i="44" s="1"/>
  <c r="AO19" i="44" s="1"/>
  <c r="AO24" i="44"/>
  <c r="AM3" i="75" l="1"/>
  <c r="AM3" i="74"/>
  <c r="AN4" i="75"/>
  <c r="AN4" i="74"/>
  <c r="AQ5" i="75"/>
  <c r="AQ5" i="74"/>
  <c r="AO2" i="75"/>
  <c r="AO2" i="74"/>
  <c r="AN70" i="73"/>
  <c r="AN58" i="73"/>
  <c r="AN63" i="73" s="1"/>
  <c r="AO60" i="73" s="1"/>
  <c r="AM3" i="73"/>
  <c r="AM3" i="72"/>
  <c r="AM3" i="71"/>
  <c r="AO2" i="73"/>
  <c r="AO2" i="72"/>
  <c r="AO2" i="71"/>
  <c r="AN48" i="72"/>
  <c r="AN10" i="71"/>
  <c r="AN15" i="71" s="1"/>
  <c r="AO12" i="71" s="1"/>
  <c r="AN33" i="71"/>
  <c r="AN38" i="71" s="1"/>
  <c r="AO35" i="71" s="1"/>
  <c r="AQ5" i="73"/>
  <c r="AQ5" i="72"/>
  <c r="AQ5" i="71"/>
  <c r="AQ5" i="70"/>
  <c r="AQ5" i="69"/>
  <c r="AN4" i="73"/>
  <c r="AN4" i="71"/>
  <c r="AN4" i="72"/>
  <c r="AM3" i="70"/>
  <c r="AM3" i="69"/>
  <c r="AO2" i="69"/>
  <c r="AO2" i="70"/>
  <c r="AN4" i="70"/>
  <c r="AN4" i="69"/>
  <c r="AN4" i="61"/>
  <c r="AN4" i="66"/>
  <c r="AN4" i="63"/>
  <c r="AM3" i="61"/>
  <c r="AM3" i="63"/>
  <c r="AM3" i="66"/>
  <c r="AQ5" i="61"/>
  <c r="AQ5" i="63"/>
  <c r="AQ5" i="66"/>
  <c r="AO2" i="61"/>
  <c r="AO2" i="66"/>
  <c r="AO2" i="63"/>
  <c r="AN64" i="44"/>
  <c r="AM3" i="57"/>
  <c r="AM3" i="28"/>
  <c r="AM3" i="44"/>
  <c r="AN10" i="28"/>
  <c r="AN15" i="28" s="1"/>
  <c r="AO12" i="28" s="1"/>
  <c r="AO42" i="44"/>
  <c r="AO43" i="44" s="1"/>
  <c r="AO63" i="44" s="1"/>
  <c r="AO2" i="28"/>
  <c r="AO32" i="44"/>
  <c r="AO33" i="44" s="1"/>
  <c r="AO2" i="57"/>
  <c r="AO2" i="44"/>
  <c r="AO57" i="44"/>
  <c r="AO58" i="44" s="1"/>
  <c r="AO23" i="44"/>
  <c r="AO25" i="44" s="1"/>
  <c r="AO47" i="44"/>
  <c r="AO48" i="44" s="1"/>
  <c r="AO52" i="44"/>
  <c r="AO53" i="44" s="1"/>
  <c r="AO62" i="44" s="1"/>
  <c r="AP14" i="44"/>
  <c r="AP15" i="44" s="1"/>
  <c r="AP18" i="44" s="1"/>
  <c r="AP19" i="44" s="1"/>
  <c r="AP24" i="44"/>
  <c r="AR9" i="44"/>
  <c r="AQ5" i="57"/>
  <c r="AQ5" i="28"/>
  <c r="AQ5" i="44"/>
  <c r="AQ10" i="44"/>
  <c r="AN4" i="44"/>
  <c r="AN4" i="28"/>
  <c r="AN4" i="57"/>
  <c r="AN3" i="75" l="1"/>
  <c r="AN3" i="74"/>
  <c r="AO4" i="75"/>
  <c r="AO4" i="74"/>
  <c r="AP2" i="75"/>
  <c r="AP2" i="74"/>
  <c r="AR5" i="75"/>
  <c r="AR5" i="74"/>
  <c r="AO70" i="73"/>
  <c r="AO58" i="73"/>
  <c r="AO63" i="73" s="1"/>
  <c r="AP60" i="73" s="1"/>
  <c r="AR5" i="73"/>
  <c r="AR5" i="72"/>
  <c r="AR5" i="69"/>
  <c r="AR5" i="71"/>
  <c r="AR5" i="70"/>
  <c r="AP2" i="73"/>
  <c r="AP2" i="72"/>
  <c r="AP2" i="71"/>
  <c r="AO4" i="73"/>
  <c r="AO4" i="71"/>
  <c r="AO4" i="72"/>
  <c r="AN3" i="73"/>
  <c r="AN3" i="72"/>
  <c r="AN3" i="71"/>
  <c r="AO48" i="72"/>
  <c r="AO33" i="71"/>
  <c r="AO38" i="71" s="1"/>
  <c r="AP35" i="71" s="1"/>
  <c r="AO10" i="71"/>
  <c r="AO15" i="71" s="1"/>
  <c r="AP12" i="71" s="1"/>
  <c r="AO4" i="69"/>
  <c r="AO4" i="70"/>
  <c r="AN3" i="70"/>
  <c r="AN3" i="69"/>
  <c r="AP2" i="69"/>
  <c r="AP2" i="70"/>
  <c r="AN3" i="61"/>
  <c r="AN3" i="63"/>
  <c r="AN3" i="66"/>
  <c r="AR5" i="61"/>
  <c r="AR5" i="63"/>
  <c r="AR5" i="66"/>
  <c r="AP2" i="61"/>
  <c r="AP2" i="63"/>
  <c r="AP2" i="66"/>
  <c r="AO4" i="61"/>
  <c r="AO4" i="66"/>
  <c r="AO4" i="63"/>
  <c r="AN3" i="57"/>
  <c r="AN3" i="44"/>
  <c r="AN3" i="28"/>
  <c r="AO4" i="57"/>
  <c r="AO4" i="44"/>
  <c r="AO4" i="28"/>
  <c r="AO10" i="28"/>
  <c r="AO15" i="28" s="1"/>
  <c r="AP12" i="28" s="1"/>
  <c r="AQ14" i="44"/>
  <c r="AQ15" i="44" s="1"/>
  <c r="AQ18" i="44" s="1"/>
  <c r="AQ19" i="44" s="1"/>
  <c r="AQ24" i="44"/>
  <c r="AR10" i="44"/>
  <c r="AR5" i="44"/>
  <c r="AR5" i="57"/>
  <c r="AS9" i="44"/>
  <c r="AR5" i="28"/>
  <c r="AP2" i="57"/>
  <c r="AP32" i="44"/>
  <c r="AP33" i="44" s="1"/>
  <c r="AP2" i="28"/>
  <c r="AP52" i="44"/>
  <c r="AP53" i="44" s="1"/>
  <c r="AP62" i="44" s="1"/>
  <c r="AP47" i="44"/>
  <c r="AP48" i="44" s="1"/>
  <c r="AP57" i="44"/>
  <c r="AP58" i="44" s="1"/>
  <c r="AP2" i="44"/>
  <c r="AP42" i="44"/>
  <c r="AP43" i="44" s="1"/>
  <c r="AP63" i="44" s="1"/>
  <c r="AP23" i="44"/>
  <c r="AP25" i="44" s="1"/>
  <c r="AO64" i="44"/>
  <c r="AQ2" i="75" l="1"/>
  <c r="AQ2" i="74"/>
  <c r="AS5" i="75"/>
  <c r="AS5" i="74"/>
  <c r="AP4" i="75"/>
  <c r="AP4" i="74"/>
  <c r="AO3" i="75"/>
  <c r="AO3" i="74"/>
  <c r="AP58" i="73"/>
  <c r="AP63" i="73" s="1"/>
  <c r="AQ60" i="73" s="1"/>
  <c r="AP70" i="73"/>
  <c r="AS5" i="73"/>
  <c r="AS5" i="72"/>
  <c r="AS5" i="71"/>
  <c r="AS5" i="69"/>
  <c r="AS5" i="70"/>
  <c r="AQ2" i="73"/>
  <c r="AQ2" i="72"/>
  <c r="AQ2" i="71"/>
  <c r="AP48" i="72"/>
  <c r="AP33" i="71"/>
  <c r="AP38" i="71" s="1"/>
  <c r="AQ35" i="71" s="1"/>
  <c r="AP10" i="71"/>
  <c r="AP15" i="71" s="1"/>
  <c r="AQ12" i="71" s="1"/>
  <c r="AO3" i="73"/>
  <c r="AO3" i="72"/>
  <c r="AO3" i="71"/>
  <c r="AP4" i="73"/>
  <c r="AP4" i="71"/>
  <c r="AP4" i="72"/>
  <c r="AO3" i="70"/>
  <c r="AO3" i="69"/>
  <c r="AQ2" i="70"/>
  <c r="AQ2" i="69"/>
  <c r="AP4" i="69"/>
  <c r="AP4" i="70"/>
  <c r="AQ2" i="61"/>
  <c r="AQ2" i="63"/>
  <c r="AQ2" i="66"/>
  <c r="AS5" i="61"/>
  <c r="AS5" i="63"/>
  <c r="AS5" i="66"/>
  <c r="AO3" i="61"/>
  <c r="AO3" i="63"/>
  <c r="AO3" i="66"/>
  <c r="AP4" i="61"/>
  <c r="AP4" i="66"/>
  <c r="AP4" i="63"/>
  <c r="AP4" i="57"/>
  <c r="AP4" i="28"/>
  <c r="AP4" i="44"/>
  <c r="AS5" i="28"/>
  <c r="AS5" i="57"/>
  <c r="AS10" i="44"/>
  <c r="AT9" i="44"/>
  <c r="AS5" i="44"/>
  <c r="AQ52" i="44"/>
  <c r="AQ53" i="44" s="1"/>
  <c r="AQ62" i="44" s="1"/>
  <c r="AQ42" i="44"/>
  <c r="AQ43" i="44" s="1"/>
  <c r="AQ63" i="44" s="1"/>
  <c r="AQ2" i="44"/>
  <c r="AQ47" i="44"/>
  <c r="AQ48" i="44" s="1"/>
  <c r="AQ2" i="57"/>
  <c r="AQ2" i="28"/>
  <c r="AQ57" i="44"/>
  <c r="AQ58" i="44" s="1"/>
  <c r="AQ23" i="44"/>
  <c r="AQ25" i="44" s="1"/>
  <c r="AQ32" i="44"/>
  <c r="AQ33" i="44" s="1"/>
  <c r="AO3" i="57"/>
  <c r="AO3" i="28"/>
  <c r="AO3" i="44"/>
  <c r="AP10" i="28"/>
  <c r="AP15" i="28" s="1"/>
  <c r="AQ12" i="28" s="1"/>
  <c r="AR14" i="44"/>
  <c r="AR15" i="44" s="1"/>
  <c r="AR18" i="44" s="1"/>
  <c r="AR19" i="44" s="1"/>
  <c r="AR24" i="44"/>
  <c r="AP64" i="44"/>
  <c r="AT5" i="75" l="1"/>
  <c r="AT5" i="74"/>
  <c r="AQ4" i="75"/>
  <c r="AQ4" i="74"/>
  <c r="AR2" i="75"/>
  <c r="AR2" i="74"/>
  <c r="AP3" i="75"/>
  <c r="AP3" i="74"/>
  <c r="AQ70" i="73"/>
  <c r="AQ58" i="73"/>
  <c r="AQ63" i="73" s="1"/>
  <c r="AR60" i="73" s="1"/>
  <c r="AQ48" i="72"/>
  <c r="AQ33" i="71"/>
  <c r="AQ38" i="71" s="1"/>
  <c r="AR35" i="71" s="1"/>
  <c r="AQ10" i="71"/>
  <c r="AQ15" i="71" s="1"/>
  <c r="AR12" i="71" s="1"/>
  <c r="AQ4" i="73"/>
  <c r="AQ4" i="71"/>
  <c r="AQ4" i="72"/>
  <c r="AT5" i="73"/>
  <c r="AT5" i="72"/>
  <c r="AT5" i="71"/>
  <c r="AT5" i="70"/>
  <c r="AT5" i="69"/>
  <c r="AP3" i="73"/>
  <c r="AP3" i="72"/>
  <c r="AP3" i="71"/>
  <c r="AR2" i="73"/>
  <c r="AR2" i="72"/>
  <c r="AR2" i="71"/>
  <c r="AR2" i="69"/>
  <c r="AR2" i="70"/>
  <c r="AQ4" i="70"/>
  <c r="AQ4" i="69"/>
  <c r="AP3" i="70"/>
  <c r="AP3" i="69"/>
  <c r="AQ4" i="61"/>
  <c r="AQ4" i="66"/>
  <c r="AQ4" i="63"/>
  <c r="AP3" i="61"/>
  <c r="AP3" i="63"/>
  <c r="AP3" i="66"/>
  <c r="AT5" i="61"/>
  <c r="AT5" i="63"/>
  <c r="AT5" i="66"/>
  <c r="AR2" i="61"/>
  <c r="AR2" i="63"/>
  <c r="AR2" i="66"/>
  <c r="AQ4" i="57"/>
  <c r="AQ4" i="28"/>
  <c r="AQ4" i="44"/>
  <c r="AR2" i="28"/>
  <c r="AR23" i="44"/>
  <c r="AR25" i="44" s="1"/>
  <c r="AR57" i="44"/>
  <c r="AR58" i="44" s="1"/>
  <c r="AR32" i="44"/>
  <c r="AR33" i="44" s="1"/>
  <c r="AR47" i="44"/>
  <c r="AR48" i="44" s="1"/>
  <c r="AR2" i="57"/>
  <c r="AR42" i="44"/>
  <c r="AR43" i="44" s="1"/>
  <c r="AR63" i="44" s="1"/>
  <c r="AR2" i="44"/>
  <c r="AR52" i="44"/>
  <c r="AR53" i="44" s="1"/>
  <c r="AR62" i="44" s="1"/>
  <c r="AQ10" i="28"/>
  <c r="AQ15" i="28" s="1"/>
  <c r="AR12" i="28" s="1"/>
  <c r="AT10" i="44"/>
  <c r="AT5" i="57"/>
  <c r="AU9" i="44"/>
  <c r="AT5" i="28"/>
  <c r="AT5" i="44"/>
  <c r="AQ64" i="44"/>
  <c r="AP3" i="28"/>
  <c r="AP3" i="57"/>
  <c r="AP3" i="44"/>
  <c r="AS14" i="44"/>
  <c r="AS15" i="44" s="1"/>
  <c r="AS18" i="44" s="1"/>
  <c r="AS19" i="44" s="1"/>
  <c r="AS24" i="44"/>
  <c r="AR4" i="75" l="1"/>
  <c r="AR4" i="74"/>
  <c r="AU5" i="75"/>
  <c r="AU5" i="74"/>
  <c r="AQ3" i="75"/>
  <c r="AQ3" i="74"/>
  <c r="AS2" i="75"/>
  <c r="AS2" i="74"/>
  <c r="AR58" i="73"/>
  <c r="AR63" i="73" s="1"/>
  <c r="AS60" i="73" s="1"/>
  <c r="AR70" i="73"/>
  <c r="AU5" i="73"/>
  <c r="AU5" i="72"/>
  <c r="AU5" i="69"/>
  <c r="AU5" i="70"/>
  <c r="AU5" i="71"/>
  <c r="AQ3" i="73"/>
  <c r="AQ3" i="71"/>
  <c r="AQ3" i="72"/>
  <c r="AS2" i="73"/>
  <c r="AS2" i="72"/>
  <c r="AS2" i="71"/>
  <c r="AR4" i="73"/>
  <c r="AR4" i="71"/>
  <c r="AR4" i="72"/>
  <c r="AR48" i="72"/>
  <c r="AR33" i="71"/>
  <c r="AR38" i="71" s="1"/>
  <c r="AS35" i="71" s="1"/>
  <c r="AR10" i="71"/>
  <c r="AR15" i="71" s="1"/>
  <c r="AS12" i="71" s="1"/>
  <c r="AS2" i="70"/>
  <c r="AS2" i="69"/>
  <c r="AR4" i="69"/>
  <c r="AR4" i="70"/>
  <c r="AQ3" i="70"/>
  <c r="AQ3" i="69"/>
  <c r="AQ3" i="61"/>
  <c r="AQ3" i="66"/>
  <c r="AQ3" i="63"/>
  <c r="AU5" i="61"/>
  <c r="AU5" i="63"/>
  <c r="AU5" i="66"/>
  <c r="AS2" i="61"/>
  <c r="AS2" i="63"/>
  <c r="AS2" i="66"/>
  <c r="AR4" i="61"/>
  <c r="AR4" i="66"/>
  <c r="AR4" i="63"/>
  <c r="AR4" i="57"/>
  <c r="AR4" i="44"/>
  <c r="AR4" i="28"/>
  <c r="AS32" i="44"/>
  <c r="AS33" i="44" s="1"/>
  <c r="AS42" i="44"/>
  <c r="AS43" i="44" s="1"/>
  <c r="AS63" i="44" s="1"/>
  <c r="AS2" i="28"/>
  <c r="AS23" i="44"/>
  <c r="AS25" i="44" s="1"/>
  <c r="AS57" i="44"/>
  <c r="AS58" i="44" s="1"/>
  <c r="AS2" i="57"/>
  <c r="AS47" i="44"/>
  <c r="AS48" i="44" s="1"/>
  <c r="AS52" i="44"/>
  <c r="AS53" i="44" s="1"/>
  <c r="AS62" i="44" s="1"/>
  <c r="AS2" i="44"/>
  <c r="AR64" i="44"/>
  <c r="AQ3" i="28"/>
  <c r="AQ3" i="44"/>
  <c r="AQ3" i="57"/>
  <c r="AT14" i="44"/>
  <c r="AT15" i="44" s="1"/>
  <c r="AT18" i="44" s="1"/>
  <c r="AT19" i="44" s="1"/>
  <c r="AT24" i="44"/>
  <c r="AU5" i="57"/>
  <c r="AU5" i="28"/>
  <c r="AV9" i="44"/>
  <c r="AU5" i="44"/>
  <c r="AU10" i="44"/>
  <c r="AR10" i="28"/>
  <c r="AR15" i="28" s="1"/>
  <c r="AS12" i="28" s="1"/>
  <c r="AS4" i="75" l="1"/>
  <c r="AS4" i="74"/>
  <c r="AR3" i="75"/>
  <c r="AR3" i="74"/>
  <c r="AT2" i="75"/>
  <c r="AT2" i="74"/>
  <c r="AV5" i="75"/>
  <c r="AV5" i="74"/>
  <c r="AS58" i="73"/>
  <c r="AS63" i="73" s="1"/>
  <c r="AT60" i="73" s="1"/>
  <c r="AS70" i="73"/>
  <c r="AT2" i="73"/>
  <c r="AT2" i="72"/>
  <c r="AT2" i="71"/>
  <c r="AR3" i="73"/>
  <c r="AR3" i="71"/>
  <c r="AR3" i="72"/>
  <c r="AS48" i="72"/>
  <c r="AS33" i="71"/>
  <c r="AS38" i="71" s="1"/>
  <c r="AT35" i="71" s="1"/>
  <c r="AS10" i="71"/>
  <c r="AS15" i="71" s="1"/>
  <c r="AT12" i="71" s="1"/>
  <c r="AS4" i="73"/>
  <c r="AS4" i="72"/>
  <c r="AS4" i="71"/>
  <c r="AV5" i="73"/>
  <c r="AV5" i="70"/>
  <c r="AV5" i="72"/>
  <c r="AV5" i="69"/>
  <c r="AV5" i="71"/>
  <c r="AR3" i="70"/>
  <c r="AR3" i="69"/>
  <c r="AS4" i="69"/>
  <c r="AS4" i="70"/>
  <c r="AT2" i="70"/>
  <c r="AT2" i="69"/>
  <c r="AR3" i="61"/>
  <c r="AR3" i="66"/>
  <c r="AR3" i="63"/>
  <c r="AT2" i="61"/>
  <c r="AT2" i="63"/>
  <c r="AT2" i="66"/>
  <c r="AS4" i="61"/>
  <c r="AS4" i="66"/>
  <c r="AS4" i="63"/>
  <c r="AV5" i="61"/>
  <c r="AV5" i="63"/>
  <c r="AV5" i="66"/>
  <c r="AS64" i="44"/>
  <c r="AS4" i="44"/>
  <c r="AS4" i="57"/>
  <c r="AS4" i="28"/>
  <c r="AS10" i="28"/>
  <c r="AS15" i="28" s="1"/>
  <c r="AT12" i="28" s="1"/>
  <c r="AU14" i="44"/>
  <c r="AU15" i="44" s="1"/>
  <c r="AU18" i="44" s="1"/>
  <c r="AU19" i="44" s="1"/>
  <c r="AU24" i="44"/>
  <c r="AV5" i="57"/>
  <c r="AW9" i="44"/>
  <c r="AV5" i="44"/>
  <c r="AV5" i="28"/>
  <c r="AV10" i="44"/>
  <c r="AT2" i="44"/>
  <c r="AT57" i="44"/>
  <c r="AT58" i="44" s="1"/>
  <c r="AT32" i="44"/>
  <c r="AT33" i="44" s="1"/>
  <c r="AT47" i="44"/>
  <c r="AT48" i="44" s="1"/>
  <c r="AT2" i="28"/>
  <c r="AT23" i="44"/>
  <c r="AT25" i="44" s="1"/>
  <c r="AT42" i="44"/>
  <c r="AT43" i="44" s="1"/>
  <c r="AT63" i="44" s="1"/>
  <c r="AT52" i="44"/>
  <c r="AT53" i="44" s="1"/>
  <c r="AT62" i="44" s="1"/>
  <c r="AT2" i="57"/>
  <c r="AR3" i="44"/>
  <c r="AR3" i="57"/>
  <c r="AR3" i="28"/>
  <c r="AS3" i="75" l="1"/>
  <c r="AS3" i="74"/>
  <c r="AU2" i="75"/>
  <c r="AU2" i="74"/>
  <c r="AW5" i="75"/>
  <c r="AW5" i="74"/>
  <c r="AT4" i="75"/>
  <c r="AT4" i="74"/>
  <c r="AT58" i="73"/>
  <c r="AT63" i="73" s="1"/>
  <c r="AU60" i="73" s="1"/>
  <c r="AT70" i="73"/>
  <c r="AT4" i="73"/>
  <c r="AT4" i="72"/>
  <c r="AT4" i="71"/>
  <c r="AS3" i="73"/>
  <c r="AS3" i="71"/>
  <c r="AS3" i="72"/>
  <c r="AT48" i="72"/>
  <c r="AT33" i="71"/>
  <c r="AT38" i="71" s="1"/>
  <c r="AU35" i="71" s="1"/>
  <c r="AT10" i="71"/>
  <c r="AT15" i="71" s="1"/>
  <c r="AU12" i="71" s="1"/>
  <c r="AU2" i="73"/>
  <c r="AU2" i="72"/>
  <c r="AU2" i="71"/>
  <c r="AW5" i="73"/>
  <c r="AW5" i="71"/>
  <c r="AW5" i="72"/>
  <c r="AW5" i="69"/>
  <c r="AW5" i="70"/>
  <c r="AT4" i="69"/>
  <c r="AT4" i="70"/>
  <c r="AU2" i="70"/>
  <c r="AU2" i="69"/>
  <c r="AS3" i="70"/>
  <c r="AS3" i="69"/>
  <c r="AW5" i="61"/>
  <c r="AW5" i="63"/>
  <c r="AW5" i="66"/>
  <c r="AS3" i="61"/>
  <c r="AS3" i="66"/>
  <c r="AS3" i="63"/>
  <c r="AU2" i="61"/>
  <c r="AU2" i="63"/>
  <c r="AU2" i="66"/>
  <c r="AT4" i="61"/>
  <c r="AT4" i="66"/>
  <c r="AT4" i="63"/>
  <c r="AS3" i="44"/>
  <c r="AS3" i="57"/>
  <c r="AS3" i="28"/>
  <c r="AT4" i="44"/>
  <c r="AT4" i="28"/>
  <c r="AT4" i="57"/>
  <c r="AV24" i="44"/>
  <c r="AV14" i="44"/>
  <c r="AV15" i="44" s="1"/>
  <c r="AV18" i="44" s="1"/>
  <c r="AV19" i="44" s="1"/>
  <c r="AT64" i="44"/>
  <c r="AT10" i="28"/>
  <c r="AT15" i="28" s="1"/>
  <c r="AU12" i="28" s="1"/>
  <c r="AW5" i="44"/>
  <c r="AW5" i="28"/>
  <c r="AW10" i="44"/>
  <c r="AX9" i="44"/>
  <c r="AW5" i="57"/>
  <c r="AU32" i="44"/>
  <c r="AU33" i="44" s="1"/>
  <c r="AU57" i="44"/>
  <c r="AU58" i="44" s="1"/>
  <c r="AU2" i="44"/>
  <c r="AU52" i="44"/>
  <c r="AU53" i="44" s="1"/>
  <c r="AU62" i="44" s="1"/>
  <c r="AU47" i="44"/>
  <c r="AU48" i="44" s="1"/>
  <c r="AU23" i="44"/>
  <c r="AU25" i="44" s="1"/>
  <c r="AU2" i="57"/>
  <c r="AU42" i="44"/>
  <c r="AU43" i="44" s="1"/>
  <c r="AU63" i="44" s="1"/>
  <c r="AU2" i="28"/>
  <c r="AV2" i="75" l="1"/>
  <c r="AV2" i="74"/>
  <c r="AT3" i="75"/>
  <c r="AT3" i="74"/>
  <c r="AX5" i="75"/>
  <c r="AX5" i="74"/>
  <c r="AU4" i="75"/>
  <c r="AU4" i="74"/>
  <c r="AU58" i="73"/>
  <c r="AU63" i="73" s="1"/>
  <c r="AV60" i="73" s="1"/>
  <c r="AU70" i="73"/>
  <c r="AU48" i="72"/>
  <c r="AU33" i="71"/>
  <c r="AU38" i="71" s="1"/>
  <c r="AV35" i="71" s="1"/>
  <c r="AU10" i="71"/>
  <c r="AU15" i="71" s="1"/>
  <c r="AV12" i="71" s="1"/>
  <c r="AX5" i="73"/>
  <c r="AX5" i="71"/>
  <c r="AX5" i="72"/>
  <c r="AX5" i="70"/>
  <c r="AX5" i="69"/>
  <c r="AV2" i="73"/>
  <c r="AV2" i="71"/>
  <c r="AV2" i="72"/>
  <c r="AT3" i="73"/>
  <c r="AT3" i="71"/>
  <c r="AT3" i="72"/>
  <c r="AU4" i="73"/>
  <c r="AU4" i="72"/>
  <c r="AU4" i="71"/>
  <c r="AT3" i="70"/>
  <c r="AT3" i="69"/>
  <c r="AV2" i="70"/>
  <c r="AV2" i="69"/>
  <c r="AU4" i="69"/>
  <c r="AU4" i="70"/>
  <c r="AV2" i="61"/>
  <c r="AV2" i="66"/>
  <c r="AV2" i="63"/>
  <c r="AX5" i="61"/>
  <c r="AX5" i="66"/>
  <c r="AX5" i="63"/>
  <c r="AT3" i="61"/>
  <c r="AT3" i="66"/>
  <c r="AT3" i="63"/>
  <c r="AU4" i="61"/>
  <c r="AU4" i="66"/>
  <c r="AU4" i="63"/>
  <c r="AU64" i="44"/>
  <c r="AU4" i="28"/>
  <c r="AU4" i="44"/>
  <c r="AU4" i="57"/>
  <c r="AT3" i="44"/>
  <c r="AT3" i="57"/>
  <c r="AT3" i="28"/>
  <c r="AU10" i="28"/>
  <c r="AU15" i="28" s="1"/>
  <c r="AV12" i="28" s="1"/>
  <c r="AX5" i="57"/>
  <c r="AX5" i="44"/>
  <c r="AY9" i="44"/>
  <c r="AX10" i="44"/>
  <c r="AX5" i="28"/>
  <c r="AW14" i="44"/>
  <c r="AW15" i="44" s="1"/>
  <c r="AW18" i="44" s="1"/>
  <c r="AW19" i="44" s="1"/>
  <c r="AW24" i="44"/>
  <c r="AV47" i="44"/>
  <c r="AV48" i="44" s="1"/>
  <c r="AV32" i="44"/>
  <c r="AV33" i="44" s="1"/>
  <c r="AV42" i="44"/>
  <c r="AV43" i="44" s="1"/>
  <c r="AV63" i="44" s="1"/>
  <c r="AV2" i="28"/>
  <c r="AV2" i="57"/>
  <c r="AV2" i="44"/>
  <c r="AV52" i="44"/>
  <c r="AV53" i="44" s="1"/>
  <c r="AV62" i="44" s="1"/>
  <c r="AV23" i="44"/>
  <c r="AV25" i="44" s="1"/>
  <c r="AV57" i="44"/>
  <c r="AV58" i="44" s="1"/>
  <c r="AU3" i="75" l="1"/>
  <c r="AU3" i="74"/>
  <c r="AY5" i="75"/>
  <c r="AY5" i="74"/>
  <c r="AW2" i="75"/>
  <c r="AW2" i="74"/>
  <c r="AV4" i="75"/>
  <c r="AV4" i="74"/>
  <c r="AV58" i="73"/>
  <c r="AV63" i="73" s="1"/>
  <c r="AW60" i="73" s="1"/>
  <c r="AV70" i="73"/>
  <c r="AV4" i="73"/>
  <c r="AV4" i="72"/>
  <c r="AV4" i="71"/>
  <c r="AU3" i="73"/>
  <c r="AU3" i="71"/>
  <c r="AU3" i="72"/>
  <c r="AW2" i="73"/>
  <c r="AW2" i="71"/>
  <c r="AW2" i="72"/>
  <c r="AV48" i="72"/>
  <c r="AV10" i="71"/>
  <c r="AV15" i="71" s="1"/>
  <c r="AW12" i="71" s="1"/>
  <c r="AV33" i="71"/>
  <c r="AV38" i="71" s="1"/>
  <c r="AW35" i="71" s="1"/>
  <c r="AY5" i="73"/>
  <c r="AY5" i="71"/>
  <c r="AY5" i="72"/>
  <c r="AY5" i="69"/>
  <c r="AY5" i="70"/>
  <c r="AV4" i="69"/>
  <c r="AV4" i="70"/>
  <c r="AW2" i="70"/>
  <c r="AW2" i="69"/>
  <c r="AU3" i="70"/>
  <c r="AU3" i="69"/>
  <c r="AW2" i="61"/>
  <c r="AW2" i="66"/>
  <c r="AW2" i="63"/>
  <c r="AU3" i="61"/>
  <c r="AU3" i="66"/>
  <c r="AU3" i="63"/>
  <c r="AY5" i="61"/>
  <c r="AY5" i="66"/>
  <c r="AY5" i="63"/>
  <c r="AV4" i="61"/>
  <c r="AV4" i="63"/>
  <c r="AV4" i="66"/>
  <c r="AV64" i="44"/>
  <c r="AU3" i="28"/>
  <c r="AU3" i="44"/>
  <c r="AU3" i="57"/>
  <c r="AX14" i="44"/>
  <c r="AX15" i="44" s="1"/>
  <c r="AX18" i="44" s="1"/>
  <c r="AX19" i="44" s="1"/>
  <c r="AX24" i="44"/>
  <c r="AV4" i="57"/>
  <c r="AV4" i="28"/>
  <c r="AV4" i="44"/>
  <c r="AW32" i="44"/>
  <c r="AW33" i="44" s="1"/>
  <c r="AW23" i="44"/>
  <c r="AW25" i="44" s="1"/>
  <c r="AW2" i="28"/>
  <c r="AW47" i="44"/>
  <c r="AW48" i="44" s="1"/>
  <c r="AW2" i="57"/>
  <c r="AW42" i="44"/>
  <c r="AW43" i="44" s="1"/>
  <c r="AW63" i="44" s="1"/>
  <c r="AW2" i="44"/>
  <c r="AW57" i="44"/>
  <c r="AW58" i="44" s="1"/>
  <c r="AW52" i="44"/>
  <c r="AW53" i="44" s="1"/>
  <c r="AW62" i="44" s="1"/>
  <c r="AY10" i="44"/>
  <c r="AY5" i="44"/>
  <c r="AY5" i="28"/>
  <c r="AZ9" i="44"/>
  <c r="AY5" i="57"/>
  <c r="AV10" i="28"/>
  <c r="AV15" i="28" s="1"/>
  <c r="AW12" i="28" s="1"/>
  <c r="AV3" i="75" l="1"/>
  <c r="AV3" i="74"/>
  <c r="AX2" i="75"/>
  <c r="AX2" i="74"/>
  <c r="AW4" i="75"/>
  <c r="AW4" i="74"/>
  <c r="AZ5" i="75"/>
  <c r="AZ5" i="74"/>
  <c r="AW70" i="73"/>
  <c r="AW58" i="73"/>
  <c r="AW63" i="73" s="1"/>
  <c r="AX60" i="73" s="1"/>
  <c r="AV3" i="73"/>
  <c r="AV3" i="71"/>
  <c r="AV3" i="72"/>
  <c r="AX2" i="73"/>
  <c r="AX2" i="71"/>
  <c r="AX2" i="72"/>
  <c r="AZ5" i="73"/>
  <c r="AZ5" i="71"/>
  <c r="AZ5" i="69"/>
  <c r="AZ5" i="72"/>
  <c r="AZ5" i="70"/>
  <c r="AW48" i="72"/>
  <c r="AW33" i="71"/>
  <c r="AW38" i="71" s="1"/>
  <c r="AX35" i="71" s="1"/>
  <c r="AW10" i="71"/>
  <c r="AW15" i="71" s="1"/>
  <c r="AX12" i="71" s="1"/>
  <c r="AW4" i="73"/>
  <c r="AW4" i="72"/>
  <c r="AW4" i="71"/>
  <c r="AW4" i="70"/>
  <c r="AW4" i="69"/>
  <c r="AX2" i="70"/>
  <c r="AX2" i="69"/>
  <c r="AV3" i="69"/>
  <c r="AV3" i="70"/>
  <c r="AV3" i="66"/>
  <c r="AV3" i="63"/>
  <c r="AW4" i="61"/>
  <c r="AW4" i="63"/>
  <c r="AW4" i="66"/>
  <c r="AZ5" i="61"/>
  <c r="AZ5" i="66"/>
  <c r="AZ5" i="63"/>
  <c r="AX2" i="61"/>
  <c r="AX2" i="66"/>
  <c r="AX2" i="63"/>
  <c r="AV3" i="28"/>
  <c r="AV3" i="61"/>
  <c r="AV3" i="57"/>
  <c r="AV3" i="44"/>
  <c r="AX32" i="44"/>
  <c r="AX33" i="44" s="1"/>
  <c r="AX57" i="44"/>
  <c r="AX58" i="44" s="1"/>
  <c r="AX23" i="44"/>
  <c r="AX25" i="44" s="1"/>
  <c r="AX47" i="44"/>
  <c r="AX48" i="44" s="1"/>
  <c r="AX2" i="44"/>
  <c r="AX2" i="57"/>
  <c r="AX2" i="28"/>
  <c r="AX52" i="44"/>
  <c r="AX53" i="44" s="1"/>
  <c r="AX62" i="44" s="1"/>
  <c r="AX42" i="44"/>
  <c r="AX43" i="44" s="1"/>
  <c r="AX63" i="44" s="1"/>
  <c r="AW4" i="57"/>
  <c r="AW4" i="28"/>
  <c r="AW4" i="44"/>
  <c r="AZ5" i="57"/>
  <c r="AZ5" i="28"/>
  <c r="AZ10" i="44"/>
  <c r="AZ5" i="44"/>
  <c r="BA9" i="44"/>
  <c r="AY14" i="44"/>
  <c r="AY15" i="44" s="1"/>
  <c r="AY18" i="44" s="1"/>
  <c r="AY19" i="44" s="1"/>
  <c r="AY24" i="44"/>
  <c r="AW10" i="28"/>
  <c r="AW15" i="28" s="1"/>
  <c r="AX12" i="28" s="1"/>
  <c r="AW64" i="44"/>
  <c r="AX4" i="75" l="1"/>
  <c r="AX4" i="74"/>
  <c r="BA5" i="75"/>
  <c r="BA5" i="74"/>
  <c r="AY2" i="75"/>
  <c r="AY2" i="74"/>
  <c r="AW3" i="75"/>
  <c r="AW3" i="74"/>
  <c r="V69" i="66"/>
  <c r="AX70" i="73"/>
  <c r="AX58" i="73"/>
  <c r="AX63" i="73" s="1"/>
  <c r="AY60" i="73" s="1"/>
  <c r="BA5" i="73"/>
  <c r="BA5" i="71"/>
  <c r="BA5" i="70"/>
  <c r="BA5" i="72"/>
  <c r="BA5" i="69"/>
  <c r="AW3" i="73"/>
  <c r="AW3" i="71"/>
  <c r="AW3" i="72"/>
  <c r="AY2" i="73"/>
  <c r="AY2" i="71"/>
  <c r="AY2" i="72"/>
  <c r="AX48" i="72"/>
  <c r="AX10" i="71"/>
  <c r="AX15" i="71" s="1"/>
  <c r="AY12" i="71" s="1"/>
  <c r="AX33" i="71"/>
  <c r="AX38" i="71" s="1"/>
  <c r="AY35" i="71" s="1"/>
  <c r="AX4" i="73"/>
  <c r="AX4" i="72"/>
  <c r="AX4" i="71"/>
  <c r="AW3" i="69"/>
  <c r="AW3" i="70"/>
  <c r="AY2" i="70"/>
  <c r="AY2" i="69"/>
  <c r="AX4" i="70"/>
  <c r="AX4" i="69"/>
  <c r="BA5" i="61"/>
  <c r="BA5" i="66"/>
  <c r="BA5" i="63"/>
  <c r="AW3" i="61"/>
  <c r="AW3" i="66"/>
  <c r="AW3" i="63"/>
  <c r="AX4" i="61"/>
  <c r="AX4" i="63"/>
  <c r="AX4" i="66"/>
  <c r="AY2" i="61"/>
  <c r="AY2" i="66"/>
  <c r="AY2" i="63"/>
  <c r="AX4" i="28"/>
  <c r="AX4" i="57"/>
  <c r="AX4" i="44"/>
  <c r="AX10" i="28"/>
  <c r="AX15" i="28" s="1"/>
  <c r="AY12" i="28" s="1"/>
  <c r="BA5" i="44"/>
  <c r="BB9" i="44"/>
  <c r="BA5" i="28"/>
  <c r="BA10" i="44"/>
  <c r="BA5" i="57"/>
  <c r="AX64" i="44"/>
  <c r="AY47" i="44"/>
  <c r="AY48" i="44" s="1"/>
  <c r="AY32" i="44"/>
  <c r="AY33" i="44" s="1"/>
  <c r="AY42" i="44"/>
  <c r="AY43" i="44" s="1"/>
  <c r="AY63" i="44" s="1"/>
  <c r="AY57" i="44"/>
  <c r="AY58" i="44" s="1"/>
  <c r="AY23" i="44"/>
  <c r="AY25" i="44" s="1"/>
  <c r="AY2" i="57"/>
  <c r="AY2" i="28"/>
  <c r="AY2" i="44"/>
  <c r="AY52" i="44"/>
  <c r="AY53" i="44" s="1"/>
  <c r="AY62" i="44" s="1"/>
  <c r="AW3" i="57"/>
  <c r="AW3" i="28"/>
  <c r="AW3" i="44"/>
  <c r="AZ14" i="44"/>
  <c r="AZ15" i="44" s="1"/>
  <c r="AZ18" i="44" s="1"/>
  <c r="AZ19" i="44" s="1"/>
  <c r="AZ24" i="44"/>
  <c r="BB5" i="75" l="1"/>
  <c r="BB5" i="74"/>
  <c r="AX3" i="75"/>
  <c r="AX3" i="74"/>
  <c r="AY4" i="75"/>
  <c r="AY4" i="74"/>
  <c r="AZ2" i="75"/>
  <c r="AZ2" i="74"/>
  <c r="AY70" i="73"/>
  <c r="AY58" i="73"/>
  <c r="AY63" i="73" s="1"/>
  <c r="AZ60" i="73" s="1"/>
  <c r="AX3" i="73"/>
  <c r="AX3" i="72"/>
  <c r="AX3" i="71"/>
  <c r="AZ2" i="73"/>
  <c r="AZ2" i="71"/>
  <c r="AZ2" i="72"/>
  <c r="BB5" i="73"/>
  <c r="BB5" i="71"/>
  <c r="BB5" i="70"/>
  <c r="BB5" i="72"/>
  <c r="BB5" i="69"/>
  <c r="AY48" i="72"/>
  <c r="AY33" i="71"/>
  <c r="AY38" i="71" s="1"/>
  <c r="AZ35" i="71" s="1"/>
  <c r="AY10" i="71"/>
  <c r="AY15" i="71" s="1"/>
  <c r="AZ12" i="71" s="1"/>
  <c r="AY4" i="73"/>
  <c r="AY4" i="72"/>
  <c r="AY4" i="71"/>
  <c r="AX3" i="69"/>
  <c r="AX3" i="70"/>
  <c r="AZ2" i="69"/>
  <c r="AZ2" i="70"/>
  <c r="AY4" i="70"/>
  <c r="AY4" i="69"/>
  <c r="AX3" i="61"/>
  <c r="AX3" i="66"/>
  <c r="AX3" i="63"/>
  <c r="AZ2" i="61"/>
  <c r="AZ2" i="66"/>
  <c r="AZ2" i="63"/>
  <c r="BB5" i="61"/>
  <c r="BB5" i="66"/>
  <c r="BB5" i="63"/>
  <c r="AY4" i="61"/>
  <c r="AY4" i="63"/>
  <c r="AY4" i="66"/>
  <c r="AY64" i="44"/>
  <c r="AY4" i="44"/>
  <c r="AY4" i="28"/>
  <c r="AY4" i="57"/>
  <c r="BB5" i="57"/>
  <c r="BB5" i="28"/>
  <c r="BC9" i="44"/>
  <c r="BB10" i="44"/>
  <c r="BB5" i="44"/>
  <c r="AX3" i="57"/>
  <c r="AX3" i="28"/>
  <c r="AX3" i="44"/>
  <c r="AZ2" i="44"/>
  <c r="AZ2" i="57"/>
  <c r="AZ52" i="44"/>
  <c r="AZ53" i="44" s="1"/>
  <c r="AZ62" i="44" s="1"/>
  <c r="AZ57" i="44"/>
  <c r="AZ58" i="44" s="1"/>
  <c r="AZ47" i="44"/>
  <c r="AZ48" i="44" s="1"/>
  <c r="AZ32" i="44"/>
  <c r="AZ33" i="44" s="1"/>
  <c r="AZ42" i="44"/>
  <c r="AZ43" i="44" s="1"/>
  <c r="AZ63" i="44" s="1"/>
  <c r="AZ2" i="28"/>
  <c r="AZ23" i="44"/>
  <c r="AZ25" i="44" s="1"/>
  <c r="AY10" i="28"/>
  <c r="AY15" i="28" s="1"/>
  <c r="AZ12" i="28" s="1"/>
  <c r="BA14" i="44"/>
  <c r="BA15" i="44" s="1"/>
  <c r="BA18" i="44" s="1"/>
  <c r="BA19" i="44" s="1"/>
  <c r="BA24" i="44"/>
  <c r="AY3" i="75" l="1"/>
  <c r="AY3" i="74"/>
  <c r="BC5" i="75"/>
  <c r="BC5" i="74"/>
  <c r="AZ4" i="75"/>
  <c r="AZ4" i="74"/>
  <c r="BA2" i="75"/>
  <c r="BA2" i="74"/>
  <c r="AZ70" i="73"/>
  <c r="AZ58" i="73"/>
  <c r="AZ63" i="73" s="1"/>
  <c r="BA60" i="73" s="1"/>
  <c r="BC5" i="73"/>
  <c r="BC5" i="71"/>
  <c r="BC5" i="70"/>
  <c r="BC5" i="72"/>
  <c r="BC5" i="69"/>
  <c r="BA2" i="73"/>
  <c r="BA2" i="71"/>
  <c r="BA2" i="72"/>
  <c r="AY3" i="73"/>
  <c r="AY3" i="72"/>
  <c r="AY3" i="71"/>
  <c r="AZ4" i="73"/>
  <c r="AZ4" i="72"/>
  <c r="AZ4" i="71"/>
  <c r="AZ48" i="72"/>
  <c r="AZ33" i="71"/>
  <c r="AZ38" i="71" s="1"/>
  <c r="BA35" i="71" s="1"/>
  <c r="AZ10" i="71"/>
  <c r="AZ15" i="71" s="1"/>
  <c r="BA12" i="71" s="1"/>
  <c r="BA2" i="69"/>
  <c r="BA2" i="70"/>
  <c r="AZ4" i="70"/>
  <c r="AZ4" i="69"/>
  <c r="AY3" i="69"/>
  <c r="AY3" i="70"/>
  <c r="BC5" i="61"/>
  <c r="BC5" i="66"/>
  <c r="BC5" i="63"/>
  <c r="AY3" i="66"/>
  <c r="AY3" i="63"/>
  <c r="BA2" i="61"/>
  <c r="BA2" i="66"/>
  <c r="BA2" i="63"/>
  <c r="AZ4" i="61"/>
  <c r="AZ4" i="63"/>
  <c r="AZ4" i="66"/>
  <c r="AY3" i="28"/>
  <c r="AY3" i="61"/>
  <c r="AY3" i="44"/>
  <c r="AY3" i="57"/>
  <c r="AZ64" i="44"/>
  <c r="AZ4" i="44"/>
  <c r="AZ4" i="28"/>
  <c r="AZ4" i="57"/>
  <c r="BC5" i="28"/>
  <c r="BC5" i="57"/>
  <c r="BC10" i="44"/>
  <c r="BC5" i="44"/>
  <c r="BD9" i="44"/>
  <c r="BA42" i="44"/>
  <c r="BA43" i="44" s="1"/>
  <c r="BA63" i="44" s="1"/>
  <c r="BA2" i="28"/>
  <c r="BA47" i="44"/>
  <c r="BA48" i="44" s="1"/>
  <c r="BA52" i="44"/>
  <c r="BA53" i="44" s="1"/>
  <c r="BA62" i="44" s="1"/>
  <c r="BA32" i="44"/>
  <c r="BA33" i="44" s="1"/>
  <c r="BA2" i="57"/>
  <c r="BA57" i="44"/>
  <c r="BA58" i="44" s="1"/>
  <c r="BA2" i="44"/>
  <c r="BA23" i="44"/>
  <c r="BA25" i="44" s="1"/>
  <c r="AZ10" i="28"/>
  <c r="AZ15" i="28" s="1"/>
  <c r="BA12" i="28" s="1"/>
  <c r="BB14" i="44"/>
  <c r="BB15" i="44" s="1"/>
  <c r="BB18" i="44" s="1"/>
  <c r="BB19" i="44" s="1"/>
  <c r="BB24" i="44"/>
  <c r="AZ3" i="75" l="1"/>
  <c r="AZ3" i="74"/>
  <c r="BD5" i="75"/>
  <c r="BD5" i="74"/>
  <c r="BA4" i="75"/>
  <c r="BA4" i="74"/>
  <c r="BB2" i="75"/>
  <c r="BB2" i="74"/>
  <c r="BA70" i="73"/>
  <c r="BA58" i="73"/>
  <c r="BA63" i="73" s="1"/>
  <c r="BB60" i="73" s="1"/>
  <c r="BA4" i="73"/>
  <c r="BA4" i="72"/>
  <c r="BA4" i="71"/>
  <c r="BB2" i="73"/>
  <c r="BB2" i="71"/>
  <c r="BB2" i="72"/>
  <c r="AZ3" i="73"/>
  <c r="AZ3" i="72"/>
  <c r="AZ3" i="71"/>
  <c r="BA48" i="72"/>
  <c r="BA33" i="71"/>
  <c r="BA38" i="71" s="1"/>
  <c r="BB35" i="71" s="1"/>
  <c r="BA10" i="71"/>
  <c r="BA15" i="71" s="1"/>
  <c r="BB12" i="71" s="1"/>
  <c r="BD5" i="73"/>
  <c r="BD5" i="70"/>
  <c r="BD5" i="72"/>
  <c r="BD5" i="69"/>
  <c r="BD5" i="71"/>
  <c r="AZ3" i="69"/>
  <c r="AZ3" i="70"/>
  <c r="BB2" i="70"/>
  <c r="BB2" i="69"/>
  <c r="BA4" i="70"/>
  <c r="BA4" i="69"/>
  <c r="BD5" i="61"/>
  <c r="BD5" i="66"/>
  <c r="BD5" i="63"/>
  <c r="AZ3" i="61"/>
  <c r="AZ3" i="66"/>
  <c r="AZ3" i="63"/>
  <c r="BB2" i="61"/>
  <c r="BB2" i="66"/>
  <c r="BB2" i="63"/>
  <c r="BA4" i="61"/>
  <c r="BA4" i="66"/>
  <c r="BA4" i="63"/>
  <c r="AZ3" i="28"/>
  <c r="AZ3" i="44"/>
  <c r="AZ3" i="57"/>
  <c r="BA10" i="28"/>
  <c r="BA15" i="28" s="1"/>
  <c r="BB12" i="28" s="1"/>
  <c r="BD10" i="44"/>
  <c r="BD5" i="57"/>
  <c r="BD5" i="28"/>
  <c r="BD5" i="44"/>
  <c r="BE9" i="44"/>
  <c r="BA64" i="44"/>
  <c r="BA4" i="44"/>
  <c r="BA4" i="28"/>
  <c r="BA4" i="57"/>
  <c r="BB32" i="44"/>
  <c r="BB33" i="44" s="1"/>
  <c r="BB2" i="57"/>
  <c r="BB47" i="44"/>
  <c r="BB48" i="44" s="1"/>
  <c r="BB23" i="44"/>
  <c r="BB25" i="44" s="1"/>
  <c r="BB52" i="44"/>
  <c r="BB53" i="44" s="1"/>
  <c r="BB62" i="44" s="1"/>
  <c r="BB42" i="44"/>
  <c r="BB43" i="44" s="1"/>
  <c r="BB63" i="44" s="1"/>
  <c r="BB2" i="28"/>
  <c r="BB2" i="44"/>
  <c r="BB57" i="44"/>
  <c r="BB58" i="44" s="1"/>
  <c r="BC14" i="44"/>
  <c r="BC15" i="44" s="1"/>
  <c r="BC18" i="44" s="1"/>
  <c r="BC19" i="44" s="1"/>
  <c r="BC24" i="44"/>
  <c r="BE5" i="75" l="1"/>
  <c r="BE5" i="74"/>
  <c r="BA3" i="75"/>
  <c r="BA3" i="74"/>
  <c r="BB4" i="75"/>
  <c r="BB4" i="74"/>
  <c r="BC2" i="75"/>
  <c r="BC2" i="74"/>
  <c r="BB70" i="73"/>
  <c r="BB58" i="73"/>
  <c r="BB63" i="73" s="1"/>
  <c r="BC60" i="73" s="1"/>
  <c r="BE5" i="73"/>
  <c r="BE5" i="70"/>
  <c r="BE5" i="72"/>
  <c r="BE5" i="71"/>
  <c r="BE5" i="69"/>
  <c r="BC2" i="73"/>
  <c r="BC2" i="72"/>
  <c r="BC2" i="71"/>
  <c r="BA3" i="73"/>
  <c r="BA3" i="72"/>
  <c r="BA3" i="71"/>
  <c r="BB4" i="73"/>
  <c r="BB4" i="71"/>
  <c r="BB4" i="72"/>
  <c r="BB48" i="72"/>
  <c r="BB33" i="71"/>
  <c r="BB38" i="71" s="1"/>
  <c r="BC35" i="71" s="1"/>
  <c r="BB10" i="71"/>
  <c r="BB15" i="71" s="1"/>
  <c r="BC12" i="71" s="1"/>
  <c r="BA3" i="70"/>
  <c r="BA3" i="69"/>
  <c r="BB4" i="70"/>
  <c r="BB4" i="69"/>
  <c r="BC2" i="69"/>
  <c r="BC2" i="70"/>
  <c r="BB4" i="61"/>
  <c r="BB4" i="63"/>
  <c r="BB4" i="66"/>
  <c r="BA3" i="61"/>
  <c r="BA3" i="63"/>
  <c r="BA3" i="66"/>
  <c r="BC2" i="61"/>
  <c r="BC2" i="66"/>
  <c r="BC2" i="63"/>
  <c r="BE5" i="61"/>
  <c r="BE5" i="66"/>
  <c r="BE5" i="63"/>
  <c r="BB4" i="57"/>
  <c r="BB4" i="28"/>
  <c r="BB4" i="44"/>
  <c r="BA3" i="44"/>
  <c r="BA3" i="28"/>
  <c r="BA3" i="57"/>
  <c r="BE5" i="28"/>
  <c r="BE10" i="44"/>
  <c r="BF9" i="44"/>
  <c r="BE5" i="57"/>
  <c r="BE5" i="44"/>
  <c r="BB10" i="28"/>
  <c r="BB15" i="28" s="1"/>
  <c r="BC12" i="28" s="1"/>
  <c r="BC32" i="44"/>
  <c r="BC33" i="44" s="1"/>
  <c r="BC57" i="44"/>
  <c r="BC58" i="44" s="1"/>
  <c r="BC23" i="44"/>
  <c r="BC25" i="44" s="1"/>
  <c r="BC52" i="44"/>
  <c r="BC53" i="44" s="1"/>
  <c r="BC62" i="44" s="1"/>
  <c r="BC2" i="44"/>
  <c r="BC47" i="44"/>
  <c r="BC48" i="44" s="1"/>
  <c r="BC42" i="44"/>
  <c r="BC43" i="44" s="1"/>
  <c r="BC63" i="44" s="1"/>
  <c r="BC2" i="57"/>
  <c r="BC2" i="28"/>
  <c r="BD14" i="44"/>
  <c r="BD15" i="44" s="1"/>
  <c r="BD18" i="44" s="1"/>
  <c r="BD19" i="44" s="1"/>
  <c r="BD24" i="44"/>
  <c r="BB64" i="44"/>
  <c r="BF5" i="75" l="1"/>
  <c r="BF5" i="74"/>
  <c r="BC4" i="75"/>
  <c r="BC4" i="74"/>
  <c r="BD2" i="75"/>
  <c r="BD2" i="74"/>
  <c r="BB3" i="75"/>
  <c r="BB3" i="74"/>
  <c r="BC70" i="73"/>
  <c r="BC58" i="73"/>
  <c r="BC63" i="73" s="1"/>
  <c r="BD60" i="73" s="1"/>
  <c r="BB3" i="73"/>
  <c r="BB3" i="72"/>
  <c r="BB3" i="71"/>
  <c r="BD2" i="73"/>
  <c r="BD2" i="72"/>
  <c r="BD2" i="71"/>
  <c r="BF5" i="73"/>
  <c r="BF5" i="72"/>
  <c r="BF5" i="71"/>
  <c r="BF5" i="70"/>
  <c r="BF5" i="69"/>
  <c r="BC48" i="72"/>
  <c r="BC10" i="71"/>
  <c r="BC15" i="71" s="1"/>
  <c r="BD12" i="71" s="1"/>
  <c r="BC33" i="71"/>
  <c r="BC38" i="71" s="1"/>
  <c r="BD35" i="71" s="1"/>
  <c r="BC4" i="73"/>
  <c r="BC4" i="71"/>
  <c r="BC4" i="72"/>
  <c r="BD2" i="69"/>
  <c r="BD2" i="70"/>
  <c r="BB3" i="69"/>
  <c r="BB3" i="70"/>
  <c r="BC4" i="70"/>
  <c r="BC4" i="69"/>
  <c r="BC4" i="61"/>
  <c r="BC4" i="66"/>
  <c r="BC4" i="63"/>
  <c r="BB3" i="61"/>
  <c r="BB3" i="63"/>
  <c r="BB3" i="66"/>
  <c r="BF5" i="61"/>
  <c r="BF5" i="66"/>
  <c r="BF5" i="63"/>
  <c r="BD2" i="61"/>
  <c r="BD2" i="66"/>
  <c r="BD2" i="63"/>
  <c r="BC4" i="44"/>
  <c r="BC4" i="57"/>
  <c r="BC4" i="28"/>
  <c r="BB3" i="44"/>
  <c r="BB3" i="28"/>
  <c r="BB3" i="57"/>
  <c r="BE14" i="44"/>
  <c r="BE15" i="44" s="1"/>
  <c r="BE18" i="44" s="1"/>
  <c r="BE19" i="44" s="1"/>
  <c r="BE24" i="44"/>
  <c r="BD52" i="44"/>
  <c r="BD53" i="44" s="1"/>
  <c r="BD62" i="44" s="1"/>
  <c r="BD23" i="44"/>
  <c r="BD25" i="44" s="1"/>
  <c r="BD32" i="44"/>
  <c r="BD33" i="44" s="1"/>
  <c r="BD2" i="44"/>
  <c r="BD42" i="44"/>
  <c r="BD43" i="44" s="1"/>
  <c r="BD63" i="44" s="1"/>
  <c r="BD47" i="44"/>
  <c r="BD48" i="44" s="1"/>
  <c r="BD2" i="57"/>
  <c r="BD2" i="28"/>
  <c r="BD57" i="44"/>
  <c r="BD58" i="44" s="1"/>
  <c r="BC64" i="44"/>
  <c r="BF5" i="57"/>
  <c r="BF5" i="28"/>
  <c r="BF5" i="44"/>
  <c r="BF10" i="44"/>
  <c r="BG9" i="44"/>
  <c r="BC10" i="28"/>
  <c r="BC15" i="28" s="1"/>
  <c r="BD12" i="28" s="1"/>
  <c r="BE2" i="75" l="1"/>
  <c r="BE2" i="74"/>
  <c r="BD4" i="75"/>
  <c r="BD4" i="74"/>
  <c r="BC3" i="75"/>
  <c r="BC3" i="74"/>
  <c r="BG5" i="75"/>
  <c r="BG5" i="74"/>
  <c r="BD70" i="73"/>
  <c r="BD58" i="73"/>
  <c r="BD63" i="73" s="1"/>
  <c r="BE60" i="73" s="1"/>
  <c r="BD4" i="73"/>
  <c r="BD4" i="71"/>
  <c r="BD4" i="72"/>
  <c r="BG5" i="73"/>
  <c r="BG5" i="72"/>
  <c r="BG5" i="71"/>
  <c r="BG5" i="70"/>
  <c r="BG5" i="69"/>
  <c r="BE2" i="73"/>
  <c r="BE2" i="72"/>
  <c r="BE2" i="71"/>
  <c r="BC3" i="73"/>
  <c r="BC3" i="72"/>
  <c r="BC3" i="71"/>
  <c r="BD48" i="72"/>
  <c r="BD10" i="71"/>
  <c r="BD15" i="71" s="1"/>
  <c r="BE12" i="71" s="1"/>
  <c r="BD33" i="71"/>
  <c r="BD38" i="71" s="1"/>
  <c r="BE35" i="71" s="1"/>
  <c r="BD4" i="70"/>
  <c r="BD4" i="69"/>
  <c r="BE2" i="69"/>
  <c r="BE2" i="70"/>
  <c r="BC3" i="69"/>
  <c r="BC3" i="70"/>
  <c r="BC3" i="61"/>
  <c r="BC3" i="63"/>
  <c r="BC3" i="66"/>
  <c r="BG5" i="61"/>
  <c r="BG5" i="63"/>
  <c r="BG5" i="66"/>
  <c r="BD4" i="61"/>
  <c r="BD4" i="66"/>
  <c r="BD4" i="63"/>
  <c r="BE2" i="61"/>
  <c r="BE2" i="66"/>
  <c r="BE2" i="63"/>
  <c r="BD4" i="44"/>
  <c r="BD4" i="57"/>
  <c r="BD4" i="28"/>
  <c r="BF14" i="44"/>
  <c r="BF15" i="44" s="1"/>
  <c r="BF18" i="44" s="1"/>
  <c r="BF19" i="44" s="1"/>
  <c r="BF24" i="44"/>
  <c r="BE32" i="44"/>
  <c r="BE33" i="44" s="1"/>
  <c r="BE47" i="44"/>
  <c r="BE48" i="44" s="1"/>
  <c r="BE2" i="28"/>
  <c r="BE52" i="44"/>
  <c r="BE53" i="44" s="1"/>
  <c r="BE62" i="44" s="1"/>
  <c r="BE23" i="44"/>
  <c r="BE25" i="44" s="1"/>
  <c r="BE57" i="44"/>
  <c r="BE58" i="44" s="1"/>
  <c r="BE2" i="44"/>
  <c r="BE2" i="57"/>
  <c r="BE42" i="44"/>
  <c r="BE43" i="44" s="1"/>
  <c r="BE63" i="44" s="1"/>
  <c r="BH9" i="44"/>
  <c r="BG10" i="44"/>
  <c r="BG5" i="44"/>
  <c r="BG5" i="57"/>
  <c r="BG5" i="28"/>
  <c r="BD10" i="28"/>
  <c r="BD15" i="28" s="1"/>
  <c r="BE12" i="28" s="1"/>
  <c r="BD64" i="44"/>
  <c r="BC3" i="28"/>
  <c r="BC3" i="57"/>
  <c r="BC3" i="44"/>
  <c r="BF2" i="75" l="1"/>
  <c r="BF2" i="74"/>
  <c r="BE4" i="75"/>
  <c r="BE4" i="74"/>
  <c r="BH5" i="75"/>
  <c r="BH5" i="74"/>
  <c r="BD3" i="75"/>
  <c r="BD3" i="74"/>
  <c r="BE70" i="73"/>
  <c r="BE58" i="73"/>
  <c r="BE63" i="73" s="1"/>
  <c r="BF60" i="73" s="1"/>
  <c r="BE4" i="73"/>
  <c r="BE4" i="71"/>
  <c r="BE4" i="72"/>
  <c r="BD3" i="73"/>
  <c r="BD3" i="72"/>
  <c r="BD3" i="71"/>
  <c r="BF2" i="73"/>
  <c r="BF2" i="72"/>
  <c r="BF2" i="71"/>
  <c r="BH5" i="73"/>
  <c r="BH5" i="72"/>
  <c r="BH5" i="69"/>
  <c r="BH5" i="71"/>
  <c r="BH5" i="70"/>
  <c r="BE48" i="72"/>
  <c r="BE33" i="71"/>
  <c r="BE38" i="71" s="1"/>
  <c r="BF35" i="71" s="1"/>
  <c r="BE10" i="71"/>
  <c r="BE15" i="71" s="1"/>
  <c r="BF12" i="71" s="1"/>
  <c r="BE4" i="69"/>
  <c r="BE4" i="70"/>
  <c r="BD3" i="70"/>
  <c r="BD3" i="69"/>
  <c r="BF2" i="69"/>
  <c r="BF2" i="70"/>
  <c r="BF2" i="61"/>
  <c r="BF2" i="63"/>
  <c r="BF2" i="66"/>
  <c r="BH5" i="61"/>
  <c r="BH5" i="63"/>
  <c r="BH5" i="66"/>
  <c r="BE4" i="61"/>
  <c r="BE4" i="66"/>
  <c r="BE4" i="63"/>
  <c r="BD3" i="61"/>
  <c r="BD3" i="63"/>
  <c r="BD3" i="66"/>
  <c r="BE64" i="44"/>
  <c r="BG24" i="44"/>
  <c r="BG14" i="44"/>
  <c r="BG15" i="44" s="1"/>
  <c r="BG18" i="44" s="1"/>
  <c r="BG19" i="44" s="1"/>
  <c r="BD3" i="57"/>
  <c r="BD3" i="28"/>
  <c r="BD3" i="44"/>
  <c r="BF52" i="44"/>
  <c r="BF53" i="44" s="1"/>
  <c r="BF62" i="44" s="1"/>
  <c r="BF57" i="44"/>
  <c r="BF58" i="44" s="1"/>
  <c r="BF32" i="44"/>
  <c r="BF33" i="44" s="1"/>
  <c r="BF23" i="44"/>
  <c r="BF25" i="44" s="1"/>
  <c r="BF47" i="44"/>
  <c r="BF48" i="44" s="1"/>
  <c r="BF2" i="28"/>
  <c r="BF2" i="44"/>
  <c r="BF42" i="44"/>
  <c r="BF43" i="44" s="1"/>
  <c r="BF63" i="44" s="1"/>
  <c r="BF2" i="57"/>
  <c r="BE4" i="28"/>
  <c r="BE4" i="57"/>
  <c r="BE4" i="44"/>
  <c r="BH10" i="44"/>
  <c r="BI9" i="44"/>
  <c r="BH5" i="57"/>
  <c r="BH5" i="44"/>
  <c r="BH5" i="28"/>
  <c r="BE10" i="28"/>
  <c r="BE15" i="28" s="1"/>
  <c r="BF12" i="28" s="1"/>
  <c r="BE3" i="75" l="1"/>
  <c r="BE3" i="74"/>
  <c r="BG2" i="75"/>
  <c r="BG2" i="74"/>
  <c r="BF4" i="75"/>
  <c r="BF4" i="74"/>
  <c r="BI5" i="75"/>
  <c r="BI5" i="74"/>
  <c r="BF58" i="73"/>
  <c r="BF63" i="73" s="1"/>
  <c r="BG60" i="73" s="1"/>
  <c r="BF70" i="73"/>
  <c r="BI5" i="73"/>
  <c r="BI5" i="72"/>
  <c r="BI5" i="71"/>
  <c r="BI5" i="70"/>
  <c r="BI5" i="69"/>
  <c r="BG2" i="73"/>
  <c r="BG2" i="72"/>
  <c r="BG2" i="71"/>
  <c r="BF48" i="72"/>
  <c r="BF33" i="71"/>
  <c r="BF38" i="71" s="1"/>
  <c r="BG35" i="71" s="1"/>
  <c r="BF10" i="71"/>
  <c r="BF15" i="71" s="1"/>
  <c r="BG12" i="71" s="1"/>
  <c r="BE3" i="73"/>
  <c r="BE3" i="72"/>
  <c r="BE3" i="71"/>
  <c r="BF4" i="73"/>
  <c r="BF4" i="71"/>
  <c r="BF4" i="72"/>
  <c r="BF4" i="69"/>
  <c r="BF4" i="70"/>
  <c r="BG2" i="70"/>
  <c r="BG2" i="69"/>
  <c r="BE3" i="70"/>
  <c r="BE3" i="69"/>
  <c r="BE3" i="61"/>
  <c r="BE3" i="63"/>
  <c r="BE3" i="66"/>
  <c r="BF4" i="61"/>
  <c r="BF4" i="66"/>
  <c r="BF4" i="63"/>
  <c r="BI5" i="61"/>
  <c r="BI5" i="63"/>
  <c r="BI5" i="66"/>
  <c r="BG2" i="61"/>
  <c r="BG2" i="63"/>
  <c r="BG2" i="66"/>
  <c r="BE3" i="28"/>
  <c r="BE3" i="57"/>
  <c r="BE3" i="44"/>
  <c r="BG2" i="57"/>
  <c r="BG52" i="44"/>
  <c r="BG53" i="44" s="1"/>
  <c r="BG62" i="44" s="1"/>
  <c r="BG42" i="44"/>
  <c r="BG43" i="44" s="1"/>
  <c r="BG63" i="44" s="1"/>
  <c r="BG57" i="44"/>
  <c r="BG58" i="44" s="1"/>
  <c r="BG2" i="44"/>
  <c r="BG23" i="44"/>
  <c r="BG25" i="44" s="1"/>
  <c r="BG32" i="44"/>
  <c r="BG33" i="44" s="1"/>
  <c r="BG2" i="28"/>
  <c r="BG47" i="44"/>
  <c r="BG48" i="44" s="1"/>
  <c r="BF4" i="28"/>
  <c r="BF4" i="57"/>
  <c r="BF4" i="44"/>
  <c r="BI10" i="44"/>
  <c r="BI5" i="28"/>
  <c r="BI5" i="44"/>
  <c r="BJ9" i="44"/>
  <c r="BI5" i="57"/>
  <c r="BH14" i="44"/>
  <c r="BH15" i="44" s="1"/>
  <c r="BH18" i="44" s="1"/>
  <c r="BH19" i="44" s="1"/>
  <c r="BH24" i="44"/>
  <c r="BF10" i="28"/>
  <c r="BF15" i="28" s="1"/>
  <c r="BG12" i="28" s="1"/>
  <c r="BF64" i="44"/>
  <c r="BG4" i="75" l="1"/>
  <c r="BG4" i="74"/>
  <c r="BJ5" i="75"/>
  <c r="BJ5" i="74"/>
  <c r="BH2" i="75"/>
  <c r="BH2" i="74"/>
  <c r="BF3" i="75"/>
  <c r="BF3" i="74"/>
  <c r="BG58" i="73"/>
  <c r="BG63" i="73" s="1"/>
  <c r="BH60" i="73" s="1"/>
  <c r="BG70" i="73"/>
  <c r="BH2" i="73"/>
  <c r="BH2" i="72"/>
  <c r="BH2" i="71"/>
  <c r="BG48" i="72"/>
  <c r="BG33" i="71"/>
  <c r="BG38" i="71" s="1"/>
  <c r="BH35" i="71" s="1"/>
  <c r="BG10" i="71"/>
  <c r="BG15" i="71" s="1"/>
  <c r="BH12" i="71" s="1"/>
  <c r="BF3" i="73"/>
  <c r="BF3" i="72"/>
  <c r="BF3" i="71"/>
  <c r="BJ5" i="73"/>
  <c r="BJ5" i="72"/>
  <c r="BJ5" i="71"/>
  <c r="BJ5" i="70"/>
  <c r="BJ5" i="69"/>
  <c r="BG4" i="73"/>
  <c r="BG4" i="71"/>
  <c r="BG4" i="72"/>
  <c r="BG4" i="69"/>
  <c r="BG4" i="70"/>
  <c r="BH2" i="70"/>
  <c r="BH2" i="69"/>
  <c r="BF3" i="70"/>
  <c r="BF3" i="69"/>
  <c r="BF3" i="61"/>
  <c r="BF3" i="63"/>
  <c r="BF3" i="66"/>
  <c r="BJ5" i="61"/>
  <c r="BJ5" i="63"/>
  <c r="BJ5" i="66"/>
  <c r="BG4" i="61"/>
  <c r="BG4" i="66"/>
  <c r="BG4" i="63"/>
  <c r="BH2" i="61"/>
  <c r="BH2" i="63"/>
  <c r="BH2" i="66"/>
  <c r="BI24" i="44"/>
  <c r="BI14" i="44"/>
  <c r="BI15" i="44" s="1"/>
  <c r="BI18" i="44" s="1"/>
  <c r="BI19" i="44" s="1"/>
  <c r="BG10" i="28"/>
  <c r="BG15" i="28" s="1"/>
  <c r="BH12" i="28" s="1"/>
  <c r="BG4" i="44"/>
  <c r="BG4" i="57"/>
  <c r="BG4" i="28"/>
  <c r="BF3" i="57"/>
  <c r="BF3" i="28"/>
  <c r="BF3" i="44"/>
  <c r="BG64" i="44"/>
  <c r="BH32" i="44"/>
  <c r="BH33" i="44" s="1"/>
  <c r="BH2" i="57"/>
  <c r="BH47" i="44"/>
  <c r="BH48" i="44" s="1"/>
  <c r="BH23" i="44"/>
  <c r="BH25" i="44" s="1"/>
  <c r="BH52" i="44"/>
  <c r="BH53" i="44" s="1"/>
  <c r="BH62" i="44" s="1"/>
  <c r="BH2" i="44"/>
  <c r="BH2" i="28"/>
  <c r="BH57" i="44"/>
  <c r="BH58" i="44" s="1"/>
  <c r="BH42" i="44"/>
  <c r="BH43" i="44" s="1"/>
  <c r="BH63" i="44" s="1"/>
  <c r="BJ10" i="44"/>
  <c r="BJ5" i="44"/>
  <c r="BJ5" i="28"/>
  <c r="BJ5" i="57"/>
  <c r="BK9" i="44"/>
  <c r="BI2" i="75" l="1"/>
  <c r="BI2" i="74"/>
  <c r="BG3" i="75"/>
  <c r="BG3" i="74"/>
  <c r="BH4" i="75"/>
  <c r="BH4" i="74"/>
  <c r="BK5" i="75"/>
  <c r="BK5" i="74"/>
  <c r="BH58" i="73"/>
  <c r="BH63" i="73" s="1"/>
  <c r="BI60" i="73" s="1"/>
  <c r="BH70" i="73"/>
  <c r="BG3" i="73"/>
  <c r="BG3" i="71"/>
  <c r="BG3" i="72"/>
  <c r="BK5" i="73"/>
  <c r="BK5" i="72"/>
  <c r="BK5" i="69"/>
  <c r="BK5" i="70"/>
  <c r="BK5" i="71"/>
  <c r="BI2" i="73"/>
  <c r="BI2" i="72"/>
  <c r="BI2" i="71"/>
  <c r="BH4" i="73"/>
  <c r="BH4" i="71"/>
  <c r="BH4" i="72"/>
  <c r="BH48" i="72"/>
  <c r="BH33" i="71"/>
  <c r="BH38" i="71" s="1"/>
  <c r="BI35" i="71" s="1"/>
  <c r="BH10" i="71"/>
  <c r="BH15" i="71" s="1"/>
  <c r="BI12" i="71" s="1"/>
  <c r="BH4" i="69"/>
  <c r="BH4" i="70"/>
  <c r="BG3" i="70"/>
  <c r="BG3" i="69"/>
  <c r="BI2" i="69"/>
  <c r="BI2" i="70"/>
  <c r="BH4" i="61"/>
  <c r="BH4" i="66"/>
  <c r="BH4" i="63"/>
  <c r="BK5" i="61"/>
  <c r="BK5" i="63"/>
  <c r="BK5" i="66"/>
  <c r="BI2" i="61"/>
  <c r="BI2" i="66"/>
  <c r="BI2" i="63"/>
  <c r="BG3" i="61"/>
  <c r="BG3" i="63"/>
  <c r="BG3" i="66"/>
  <c r="BH4" i="28"/>
  <c r="BH4" i="44"/>
  <c r="BH4" i="57"/>
  <c r="BH10" i="28"/>
  <c r="BH15" i="28" s="1"/>
  <c r="BI12" i="28" s="1"/>
  <c r="BJ14" i="44"/>
  <c r="BJ15" i="44" s="1"/>
  <c r="BJ18" i="44" s="1"/>
  <c r="BJ19" i="44" s="1"/>
  <c r="BJ24" i="44"/>
  <c r="BK5" i="44"/>
  <c r="BL9" i="44"/>
  <c r="BK5" i="57"/>
  <c r="BK10" i="44"/>
  <c r="BK5" i="28"/>
  <c r="BH64" i="44"/>
  <c r="BI2" i="57"/>
  <c r="BI2" i="28"/>
  <c r="BI47" i="44"/>
  <c r="BI48" i="44" s="1"/>
  <c r="BI52" i="44"/>
  <c r="BI53" i="44" s="1"/>
  <c r="BI62" i="44" s="1"/>
  <c r="BI32" i="44"/>
  <c r="BI33" i="44" s="1"/>
  <c r="BI23" i="44"/>
  <c r="BI25" i="44" s="1"/>
  <c r="BI42" i="44"/>
  <c r="BI43" i="44" s="1"/>
  <c r="BI63" i="44" s="1"/>
  <c r="BI57" i="44"/>
  <c r="BI58" i="44" s="1"/>
  <c r="BI2" i="44"/>
  <c r="BG3" i="57"/>
  <c r="BG3" i="28"/>
  <c r="BG3" i="44"/>
  <c r="BJ2" i="75" l="1"/>
  <c r="BJ2" i="74"/>
  <c r="BL5" i="75"/>
  <c r="BL5" i="74"/>
  <c r="BH3" i="75"/>
  <c r="BH3" i="74"/>
  <c r="BI4" i="75"/>
  <c r="BI4" i="74"/>
  <c r="BI58" i="73"/>
  <c r="BI63" i="73" s="1"/>
  <c r="BJ60" i="73" s="1"/>
  <c r="BI70" i="73"/>
  <c r="BL5" i="73"/>
  <c r="BL5" i="70"/>
  <c r="BL5" i="72"/>
  <c r="BL5" i="71"/>
  <c r="BL5" i="69"/>
  <c r="BJ2" i="73"/>
  <c r="BJ2" i="72"/>
  <c r="BJ2" i="71"/>
  <c r="BI48" i="72"/>
  <c r="BI33" i="71"/>
  <c r="BI38" i="71" s="1"/>
  <c r="BJ35" i="71" s="1"/>
  <c r="BI10" i="71"/>
  <c r="BI15" i="71" s="1"/>
  <c r="BJ12" i="71" s="1"/>
  <c r="BI4" i="73"/>
  <c r="BI4" i="72"/>
  <c r="BI4" i="71"/>
  <c r="BH3" i="73"/>
  <c r="BH3" i="71"/>
  <c r="BH3" i="72"/>
  <c r="BH3" i="70"/>
  <c r="BH3" i="69"/>
  <c r="BJ2" i="70"/>
  <c r="BJ2" i="69"/>
  <c r="BI4" i="69"/>
  <c r="BI4" i="70"/>
  <c r="BI4" i="61"/>
  <c r="BI4" i="66"/>
  <c r="BI4" i="63"/>
  <c r="BH3" i="61"/>
  <c r="BH3" i="66"/>
  <c r="BH3" i="63"/>
  <c r="BL5" i="61"/>
  <c r="BL5" i="66"/>
  <c r="BL5" i="63"/>
  <c r="BJ2" i="61"/>
  <c r="BJ2" i="63"/>
  <c r="BJ2" i="66"/>
  <c r="BI4" i="44"/>
  <c r="BI4" i="28"/>
  <c r="BI4" i="57"/>
  <c r="BH3" i="57"/>
  <c r="BH3" i="28"/>
  <c r="BH3" i="44"/>
  <c r="BI10" i="28"/>
  <c r="BI15" i="28" s="1"/>
  <c r="BJ12" i="28" s="1"/>
  <c r="BL5" i="44"/>
  <c r="BM9" i="44"/>
  <c r="BL10" i="44"/>
  <c r="BL5" i="28"/>
  <c r="BL5" i="57"/>
  <c r="BJ57" i="44"/>
  <c r="BJ58" i="44" s="1"/>
  <c r="BJ2" i="57"/>
  <c r="BJ52" i="44"/>
  <c r="BJ53" i="44" s="1"/>
  <c r="BJ62" i="44" s="1"/>
  <c r="BJ47" i="44"/>
  <c r="BJ48" i="44" s="1"/>
  <c r="BJ2" i="44"/>
  <c r="BJ23" i="44"/>
  <c r="BJ25" i="44" s="1"/>
  <c r="BJ42" i="44"/>
  <c r="BJ43" i="44" s="1"/>
  <c r="BJ63" i="44" s="1"/>
  <c r="BJ2" i="28"/>
  <c r="BJ32" i="44"/>
  <c r="BJ33" i="44" s="1"/>
  <c r="BK14" i="44"/>
  <c r="BK15" i="44" s="1"/>
  <c r="BK18" i="44" s="1"/>
  <c r="BK19" i="44" s="1"/>
  <c r="BK24" i="44"/>
  <c r="BI64" i="44"/>
  <c r="BM5" i="75" l="1"/>
  <c r="BM5" i="74"/>
  <c r="BJ4" i="75"/>
  <c r="BJ4" i="74"/>
  <c r="BK2" i="75"/>
  <c r="BK2" i="74"/>
  <c r="BI3" i="75"/>
  <c r="BI3" i="74"/>
  <c r="BJ58" i="73"/>
  <c r="BJ63" i="73" s="1"/>
  <c r="BK60" i="73" s="1"/>
  <c r="BJ70" i="73"/>
  <c r="BI3" i="73"/>
  <c r="BI3" i="71"/>
  <c r="BI3" i="72"/>
  <c r="BM5" i="73"/>
  <c r="BM5" i="71"/>
  <c r="BM5" i="72"/>
  <c r="BM5" i="69"/>
  <c r="BM5" i="70"/>
  <c r="BJ4" i="73"/>
  <c r="BJ4" i="72"/>
  <c r="BJ4" i="71"/>
  <c r="BK2" i="73"/>
  <c r="BK2" i="72"/>
  <c r="BK2" i="71"/>
  <c r="BJ48" i="72"/>
  <c r="BJ33" i="71"/>
  <c r="BJ38" i="71" s="1"/>
  <c r="BK35" i="71" s="1"/>
  <c r="BJ10" i="71"/>
  <c r="BJ15" i="71" s="1"/>
  <c r="BK12" i="71" s="1"/>
  <c r="BK2" i="70"/>
  <c r="BK2" i="69"/>
  <c r="BI3" i="70"/>
  <c r="BI3" i="69"/>
  <c r="BJ4" i="69"/>
  <c r="BJ4" i="70"/>
  <c r="BJ4" i="61"/>
  <c r="BJ4" i="66"/>
  <c r="BJ4" i="63"/>
  <c r="BK2" i="61"/>
  <c r="BK2" i="63"/>
  <c r="BK2" i="66"/>
  <c r="BM5" i="61"/>
  <c r="BM5" i="63"/>
  <c r="BM5" i="66"/>
  <c r="BI3" i="61"/>
  <c r="BI3" i="66"/>
  <c r="BI3" i="63"/>
  <c r="BJ64" i="44"/>
  <c r="BJ10" i="28"/>
  <c r="BJ15" i="28" s="1"/>
  <c r="BK12" i="28" s="1"/>
  <c r="BK57" i="44"/>
  <c r="BK58" i="44" s="1"/>
  <c r="BK47" i="44"/>
  <c r="BK48" i="44" s="1"/>
  <c r="BK23" i="44"/>
  <c r="BK25" i="44" s="1"/>
  <c r="BK32" i="44"/>
  <c r="BK33" i="44" s="1"/>
  <c r="BK2" i="28"/>
  <c r="BK2" i="57"/>
  <c r="BK2" i="44"/>
  <c r="BK52" i="44"/>
  <c r="BK53" i="44" s="1"/>
  <c r="BK62" i="44" s="1"/>
  <c r="BK42" i="44"/>
  <c r="BK43" i="44" s="1"/>
  <c r="BK63" i="44" s="1"/>
  <c r="BL14" i="44"/>
  <c r="BL15" i="44" s="1"/>
  <c r="BL18" i="44" s="1"/>
  <c r="BL19" i="44" s="1"/>
  <c r="BL24" i="44"/>
  <c r="BJ4" i="28"/>
  <c r="BJ4" i="57"/>
  <c r="BJ4" i="44"/>
  <c r="BM10" i="44"/>
  <c r="BM5" i="57"/>
  <c r="BM5" i="28"/>
  <c r="BM5" i="44"/>
  <c r="BN9" i="44"/>
  <c r="BI3" i="44"/>
  <c r="BI3" i="28"/>
  <c r="BI3" i="57"/>
  <c r="BJ3" i="75" l="1"/>
  <c r="BJ3" i="74"/>
  <c r="BK4" i="75"/>
  <c r="BK4" i="74"/>
  <c r="BL2" i="75"/>
  <c r="BL2" i="74"/>
  <c r="BN5" i="75"/>
  <c r="BN5" i="74"/>
  <c r="BK58" i="73"/>
  <c r="BK63" i="73" s="1"/>
  <c r="BL60" i="73" s="1"/>
  <c r="BK70" i="73"/>
  <c r="BK48" i="72"/>
  <c r="BK33" i="71"/>
  <c r="BK38" i="71" s="1"/>
  <c r="BL35" i="71" s="1"/>
  <c r="BK10" i="71"/>
  <c r="BK15" i="71" s="1"/>
  <c r="BL12" i="71" s="1"/>
  <c r="BN5" i="73"/>
  <c r="BN5" i="71"/>
  <c r="BN5" i="72"/>
  <c r="BN5" i="69"/>
  <c r="BN5" i="70"/>
  <c r="BK4" i="73"/>
  <c r="BK4" i="72"/>
  <c r="BK4" i="71"/>
  <c r="BJ3" i="73"/>
  <c r="BJ3" i="71"/>
  <c r="BJ3" i="72"/>
  <c r="BL2" i="73"/>
  <c r="BL2" i="71"/>
  <c r="BL2" i="72"/>
  <c r="BL2" i="70"/>
  <c r="BL2" i="69"/>
  <c r="BJ3" i="70"/>
  <c r="BJ3" i="69"/>
  <c r="BK4" i="69"/>
  <c r="BK4" i="70"/>
  <c r="BJ3" i="66"/>
  <c r="BJ3" i="63"/>
  <c r="BL2" i="61"/>
  <c r="BL2" i="63"/>
  <c r="BL2" i="66"/>
  <c r="BN5" i="61"/>
  <c r="BN5" i="63"/>
  <c r="BN5" i="66"/>
  <c r="BK4" i="61"/>
  <c r="BK4" i="66"/>
  <c r="BK4" i="63"/>
  <c r="BJ3" i="44"/>
  <c r="BJ3" i="61"/>
  <c r="BJ3" i="28"/>
  <c r="BJ3" i="57"/>
  <c r="BL32" i="44"/>
  <c r="BL33" i="44" s="1"/>
  <c r="BL42" i="44"/>
  <c r="BL43" i="44" s="1"/>
  <c r="BL63" i="44" s="1"/>
  <c r="BL2" i="28"/>
  <c r="BL47" i="44"/>
  <c r="BL48" i="44" s="1"/>
  <c r="BL57" i="44"/>
  <c r="BL58" i="44" s="1"/>
  <c r="BL52" i="44"/>
  <c r="BL53" i="44" s="1"/>
  <c r="BL62" i="44" s="1"/>
  <c r="BL2" i="44"/>
  <c r="BL2" i="57"/>
  <c r="BL23" i="44"/>
  <c r="BL25" i="44" s="1"/>
  <c r="BK10" i="28"/>
  <c r="BK15" i="28" s="1"/>
  <c r="BL12" i="28" s="1"/>
  <c r="BN10" i="44"/>
  <c r="BO9" i="44"/>
  <c r="BN5" i="44"/>
  <c r="BN5" i="57"/>
  <c r="BN5" i="28"/>
  <c r="BM24" i="44"/>
  <c r="BM14" i="44"/>
  <c r="BM15" i="44" s="1"/>
  <c r="BM18" i="44" s="1"/>
  <c r="BM19" i="44" s="1"/>
  <c r="BK4" i="28"/>
  <c r="BK4" i="57"/>
  <c r="BK4" i="44"/>
  <c r="BK64" i="44"/>
  <c r="BL4" i="75" l="1"/>
  <c r="BL4" i="74"/>
  <c r="BO5" i="75"/>
  <c r="BO5" i="74"/>
  <c r="BM2" i="75"/>
  <c r="BM2" i="74"/>
  <c r="BK3" i="75"/>
  <c r="BK3" i="74"/>
  <c r="BL58" i="73"/>
  <c r="BL63" i="73" s="1"/>
  <c r="BM60" i="73" s="1"/>
  <c r="BL70" i="73"/>
  <c r="BM2" i="73"/>
  <c r="BM2" i="71"/>
  <c r="BM2" i="72"/>
  <c r="BK3" i="73"/>
  <c r="BK3" i="71"/>
  <c r="BK3" i="72"/>
  <c r="BL48" i="72"/>
  <c r="BL10" i="71"/>
  <c r="BL15" i="71" s="1"/>
  <c r="BM12" i="71" s="1"/>
  <c r="BL33" i="71"/>
  <c r="BL38" i="71" s="1"/>
  <c r="BM35" i="71" s="1"/>
  <c r="BO5" i="73"/>
  <c r="BO5" i="71"/>
  <c r="BO5" i="70"/>
  <c r="BO5" i="72"/>
  <c r="BO5" i="69"/>
  <c r="BL4" i="73"/>
  <c r="BL4" i="72"/>
  <c r="BL4" i="71"/>
  <c r="BL4" i="69"/>
  <c r="BL4" i="70"/>
  <c r="BK3" i="69"/>
  <c r="BK3" i="70"/>
  <c r="BM2" i="70"/>
  <c r="BM2" i="69"/>
  <c r="BL4" i="61"/>
  <c r="BL4" i="63"/>
  <c r="BL4" i="66"/>
  <c r="BO5" i="61"/>
  <c r="BO5" i="66"/>
  <c r="BO5" i="63"/>
  <c r="BM2" i="61"/>
  <c r="BM2" i="66"/>
  <c r="BM2" i="63"/>
  <c r="BK3" i="61"/>
  <c r="BK3" i="66"/>
  <c r="BK3" i="63"/>
  <c r="BL64" i="44"/>
  <c r="BL4" i="44"/>
  <c r="BL4" i="57"/>
  <c r="BL4" i="28"/>
  <c r="BP9" i="44"/>
  <c r="BO5" i="57"/>
  <c r="BO5" i="44"/>
  <c r="BO10" i="44"/>
  <c r="BO5" i="28"/>
  <c r="BN14" i="44"/>
  <c r="BN15" i="44" s="1"/>
  <c r="BN18" i="44" s="1"/>
  <c r="BN19" i="44" s="1"/>
  <c r="BN24" i="44"/>
  <c r="BK3" i="57"/>
  <c r="BK3" i="28"/>
  <c r="BK3" i="44"/>
  <c r="BL10" i="28"/>
  <c r="BL15" i="28" s="1"/>
  <c r="BM12" i="28" s="1"/>
  <c r="BM57" i="44"/>
  <c r="BM58" i="44" s="1"/>
  <c r="BM23" i="44"/>
  <c r="BM25" i="44" s="1"/>
  <c r="BM2" i="28"/>
  <c r="BM2" i="57"/>
  <c r="BM32" i="44"/>
  <c r="BM33" i="44" s="1"/>
  <c r="BM52" i="44"/>
  <c r="BM53" i="44" s="1"/>
  <c r="BM62" i="44" s="1"/>
  <c r="BM42" i="44"/>
  <c r="BM43" i="44" s="1"/>
  <c r="BM63" i="44" s="1"/>
  <c r="BM2" i="44"/>
  <c r="BM47" i="44"/>
  <c r="BM48" i="44" s="1"/>
  <c r="BL3" i="75" l="1"/>
  <c r="BL3" i="74"/>
  <c r="BP5" i="75"/>
  <c r="BP5" i="74"/>
  <c r="BN2" i="75"/>
  <c r="BN2" i="74"/>
  <c r="BM4" i="75"/>
  <c r="BM4" i="74"/>
  <c r="BM70" i="73"/>
  <c r="BM58" i="73"/>
  <c r="BM63" i="73" s="1"/>
  <c r="BN60" i="73" s="1"/>
  <c r="BP5" i="73"/>
  <c r="BP5" i="71"/>
  <c r="BP5" i="69"/>
  <c r="BP5" i="72"/>
  <c r="BP5" i="70"/>
  <c r="BM48" i="72"/>
  <c r="BM33" i="71"/>
  <c r="BM38" i="71" s="1"/>
  <c r="BN35" i="71" s="1"/>
  <c r="BM10" i="71"/>
  <c r="BM15" i="71" s="1"/>
  <c r="BN12" i="71" s="1"/>
  <c r="BN2" i="73"/>
  <c r="BN2" i="71"/>
  <c r="BN2" i="72"/>
  <c r="BM4" i="73"/>
  <c r="BM4" i="72"/>
  <c r="BM4" i="71"/>
  <c r="BL3" i="73"/>
  <c r="BL3" i="71"/>
  <c r="BL3" i="72"/>
  <c r="BN2" i="70"/>
  <c r="BN2" i="69"/>
  <c r="BM4" i="70"/>
  <c r="BM4" i="69"/>
  <c r="BL3" i="69"/>
  <c r="BL3" i="70"/>
  <c r="BL3" i="61"/>
  <c r="BL3" i="66"/>
  <c r="BL3" i="63"/>
  <c r="BN2" i="61"/>
  <c r="BN2" i="66"/>
  <c r="BN2" i="63"/>
  <c r="BM4" i="61"/>
  <c r="BM4" i="63"/>
  <c r="BM4" i="66"/>
  <c r="BP5" i="61"/>
  <c r="BP5" i="66"/>
  <c r="BP5" i="63"/>
  <c r="BL3" i="28"/>
  <c r="BL3" i="57"/>
  <c r="BL3" i="44"/>
  <c r="BM10" i="28"/>
  <c r="BM15" i="28" s="1"/>
  <c r="BN12" i="28" s="1"/>
  <c r="BN47" i="44"/>
  <c r="BN48" i="44" s="1"/>
  <c r="BN2" i="44"/>
  <c r="BN2" i="57"/>
  <c r="BN23" i="44"/>
  <c r="BN25" i="44" s="1"/>
  <c r="BN57" i="44"/>
  <c r="BN58" i="44" s="1"/>
  <c r="BN52" i="44"/>
  <c r="BN53" i="44" s="1"/>
  <c r="BN62" i="44" s="1"/>
  <c r="BN42" i="44"/>
  <c r="BN43" i="44" s="1"/>
  <c r="BN63" i="44" s="1"/>
  <c r="BN2" i="28"/>
  <c r="BN32" i="44"/>
  <c r="BN33" i="44" s="1"/>
  <c r="BM4" i="28"/>
  <c r="BM4" i="57"/>
  <c r="BM4" i="44"/>
  <c r="BO14" i="44"/>
  <c r="BO15" i="44" s="1"/>
  <c r="BO18" i="44" s="1"/>
  <c r="BO19" i="44" s="1"/>
  <c r="BO24" i="44"/>
  <c r="BP10" i="44"/>
  <c r="BP5" i="57"/>
  <c r="BP5" i="28"/>
  <c r="BQ9" i="44"/>
  <c r="BP5" i="44"/>
  <c r="BM64" i="44"/>
  <c r="BN4" i="75" l="1"/>
  <c r="BN4" i="74"/>
  <c r="BO2" i="75"/>
  <c r="BO2" i="74"/>
  <c r="BQ5" i="75"/>
  <c r="BQ5" i="74"/>
  <c r="BM3" i="75"/>
  <c r="BM3" i="74"/>
  <c r="BN58" i="73"/>
  <c r="BN63" i="73" s="1"/>
  <c r="BO60" i="73" s="1"/>
  <c r="BN70" i="73"/>
  <c r="BQ5" i="73"/>
  <c r="BQ5" i="71"/>
  <c r="BQ5" i="70"/>
  <c r="BQ5" i="72"/>
  <c r="BQ5" i="69"/>
  <c r="BM3" i="73"/>
  <c r="BM3" i="71"/>
  <c r="BM3" i="72"/>
  <c r="BO2" i="73"/>
  <c r="BO2" i="71"/>
  <c r="BO2" i="72"/>
  <c r="BN48" i="72"/>
  <c r="BN10" i="71"/>
  <c r="BN15" i="71" s="1"/>
  <c r="BO12" i="71" s="1"/>
  <c r="BN33" i="71"/>
  <c r="BN38" i="71" s="1"/>
  <c r="BO35" i="71" s="1"/>
  <c r="BN4" i="73"/>
  <c r="BN4" i="72"/>
  <c r="BN4" i="71"/>
  <c r="BN4" i="70"/>
  <c r="BN4" i="69"/>
  <c r="BO2" i="70"/>
  <c r="BO2" i="69"/>
  <c r="BM3" i="69"/>
  <c r="BM3" i="70"/>
  <c r="BO2" i="61"/>
  <c r="BO2" i="66"/>
  <c r="BO2" i="63"/>
  <c r="BN4" i="61"/>
  <c r="BN4" i="63"/>
  <c r="BN4" i="66"/>
  <c r="BM3" i="61"/>
  <c r="BM3" i="66"/>
  <c r="BM3" i="63"/>
  <c r="BQ5" i="61"/>
  <c r="BQ5" i="66"/>
  <c r="BQ5" i="63"/>
  <c r="BN4" i="44"/>
  <c r="BN4" i="57"/>
  <c r="BN4" i="28"/>
  <c r="BP14" i="44"/>
  <c r="BP15" i="44" s="1"/>
  <c r="BP18" i="44" s="1"/>
  <c r="BP19" i="44" s="1"/>
  <c r="BP24" i="44"/>
  <c r="BN10" i="28"/>
  <c r="BN15" i="28" s="1"/>
  <c r="BO12" i="28" s="1"/>
  <c r="BM3" i="28"/>
  <c r="BM3" i="44"/>
  <c r="BM3" i="57"/>
  <c r="BN64" i="44"/>
  <c r="BQ5" i="44"/>
  <c r="BQ5" i="28"/>
  <c r="BQ5" i="57"/>
  <c r="BR9" i="44"/>
  <c r="BQ10" i="44"/>
  <c r="BO2" i="44"/>
  <c r="BO32" i="44"/>
  <c r="BO33" i="44" s="1"/>
  <c r="BO2" i="57"/>
  <c r="BO2" i="28"/>
  <c r="BO47" i="44"/>
  <c r="BO48" i="44" s="1"/>
  <c r="BO42" i="44"/>
  <c r="BO43" i="44" s="1"/>
  <c r="BO63" i="44" s="1"/>
  <c r="BO23" i="44"/>
  <c r="BO25" i="44" s="1"/>
  <c r="BO57" i="44"/>
  <c r="BO58" i="44" s="1"/>
  <c r="BO52" i="44"/>
  <c r="BO53" i="44" s="1"/>
  <c r="BO62" i="44" s="1"/>
  <c r="BP2" i="75" l="1"/>
  <c r="BP2" i="74"/>
  <c r="BN3" i="75"/>
  <c r="BN3" i="74"/>
  <c r="BR5" i="75"/>
  <c r="BR5" i="74"/>
  <c r="BO4" i="75"/>
  <c r="BO4" i="74"/>
  <c r="BO70" i="73"/>
  <c r="BO58" i="73"/>
  <c r="BO63" i="73" s="1"/>
  <c r="BP60" i="73" s="1"/>
  <c r="BN3" i="73"/>
  <c r="BN3" i="72"/>
  <c r="BN3" i="71"/>
  <c r="BO48" i="72"/>
  <c r="BO33" i="71"/>
  <c r="BO38" i="71" s="1"/>
  <c r="BP35" i="71" s="1"/>
  <c r="BO10" i="71"/>
  <c r="BO15" i="71" s="1"/>
  <c r="BP12" i="71" s="1"/>
  <c r="BP2" i="73"/>
  <c r="BP2" i="71"/>
  <c r="BP2" i="72"/>
  <c r="BO4" i="73"/>
  <c r="BO4" i="72"/>
  <c r="BO4" i="71"/>
  <c r="BR5" i="73"/>
  <c r="BR5" i="71"/>
  <c r="BR5" i="70"/>
  <c r="BR5" i="72"/>
  <c r="BR5" i="69"/>
  <c r="BN3" i="69"/>
  <c r="BN3" i="70"/>
  <c r="BO4" i="69"/>
  <c r="BO4" i="70"/>
  <c r="BP2" i="69"/>
  <c r="BP2" i="70"/>
  <c r="BP2" i="61"/>
  <c r="BP2" i="66"/>
  <c r="BP2" i="63"/>
  <c r="BR5" i="61"/>
  <c r="BR5" i="66"/>
  <c r="BR5" i="63"/>
  <c r="BN3" i="61"/>
  <c r="BN3" i="66"/>
  <c r="BN3" i="63"/>
  <c r="BO4" i="61"/>
  <c r="BO4" i="63"/>
  <c r="BO4" i="66"/>
  <c r="BO64" i="44"/>
  <c r="BO10" i="28"/>
  <c r="BO15" i="28" s="1"/>
  <c r="BP12" i="28" s="1"/>
  <c r="BQ14" i="44"/>
  <c r="BQ15" i="44" s="1"/>
  <c r="BQ18" i="44" s="1"/>
  <c r="BQ19" i="44" s="1"/>
  <c r="BQ24" i="44"/>
  <c r="BN3" i="44"/>
  <c r="BN3" i="28"/>
  <c r="BN3" i="57"/>
  <c r="BP57" i="44"/>
  <c r="BP58" i="44" s="1"/>
  <c r="BP52" i="44"/>
  <c r="BP53" i="44" s="1"/>
  <c r="BP62" i="44" s="1"/>
  <c r="BP2" i="28"/>
  <c r="BP42" i="44"/>
  <c r="BP43" i="44" s="1"/>
  <c r="BP63" i="44" s="1"/>
  <c r="BP32" i="44"/>
  <c r="BP33" i="44" s="1"/>
  <c r="BP2" i="44"/>
  <c r="BP47" i="44"/>
  <c r="BP48" i="44" s="1"/>
  <c r="BP23" i="44"/>
  <c r="BP25" i="44" s="1"/>
  <c r="BP2" i="57"/>
  <c r="BO4" i="44"/>
  <c r="BO4" i="28"/>
  <c r="BO4" i="57"/>
  <c r="BR5" i="57"/>
  <c r="BS9" i="44"/>
  <c r="BR10" i="44"/>
  <c r="BR5" i="44"/>
  <c r="BR5" i="28"/>
  <c r="BO3" i="75" l="1"/>
  <c r="BO3" i="74"/>
  <c r="BQ2" i="75"/>
  <c r="BQ2" i="74"/>
  <c r="BP4" i="75"/>
  <c r="BP4" i="74"/>
  <c r="BS5" i="75"/>
  <c r="BS5" i="74"/>
  <c r="BP70" i="73"/>
  <c r="BP58" i="73"/>
  <c r="BP63" i="73" s="1"/>
  <c r="BQ60" i="73" s="1"/>
  <c r="BS5" i="73"/>
  <c r="BS5" i="71"/>
  <c r="BS5" i="70"/>
  <c r="BS5" i="72"/>
  <c r="BS5" i="69"/>
  <c r="BO3" i="73"/>
  <c r="BO3" i="72"/>
  <c r="BO3" i="71"/>
  <c r="BQ2" i="73"/>
  <c r="BQ2" i="71"/>
  <c r="BQ2" i="72"/>
  <c r="BP4" i="73"/>
  <c r="BP4" i="72"/>
  <c r="BP4" i="71"/>
  <c r="BP48" i="72"/>
  <c r="BP33" i="71"/>
  <c r="BP38" i="71" s="1"/>
  <c r="BQ35" i="71" s="1"/>
  <c r="BP10" i="71"/>
  <c r="BP15" i="71" s="1"/>
  <c r="BQ12" i="71" s="1"/>
  <c r="BQ2" i="69"/>
  <c r="BQ2" i="70"/>
  <c r="BO3" i="69"/>
  <c r="BO3" i="70"/>
  <c r="BP4" i="70"/>
  <c r="BP4" i="69"/>
  <c r="BQ2" i="61"/>
  <c r="BQ2" i="66"/>
  <c r="BQ2" i="63"/>
  <c r="BP4" i="61"/>
  <c r="BP4" i="63"/>
  <c r="BP4" i="66"/>
  <c r="BO3" i="61"/>
  <c r="BO3" i="66"/>
  <c r="BO3" i="63"/>
  <c r="BS5" i="61"/>
  <c r="BS5" i="66"/>
  <c r="BS5" i="63"/>
  <c r="BO3" i="44"/>
  <c r="BO3" i="57"/>
  <c r="BO3" i="28"/>
  <c r="BQ57" i="44"/>
  <c r="BQ58" i="44" s="1"/>
  <c r="BQ47" i="44"/>
  <c r="BQ48" i="44" s="1"/>
  <c r="BQ2" i="44"/>
  <c r="BQ42" i="44"/>
  <c r="BQ43" i="44" s="1"/>
  <c r="BQ63" i="44" s="1"/>
  <c r="BQ52" i="44"/>
  <c r="BQ53" i="44" s="1"/>
  <c r="BQ62" i="44" s="1"/>
  <c r="BQ32" i="44"/>
  <c r="BQ33" i="44" s="1"/>
  <c r="BQ2" i="28"/>
  <c r="BQ23" i="44"/>
  <c r="BQ25" i="44" s="1"/>
  <c r="BQ2" i="57"/>
  <c r="BS5" i="44"/>
  <c r="BS10" i="44"/>
  <c r="BT9" i="44"/>
  <c r="BS5" i="57"/>
  <c r="BS5" i="28"/>
  <c r="BP4" i="28"/>
  <c r="BP4" i="44"/>
  <c r="BP4" i="57"/>
  <c r="BR14" i="44"/>
  <c r="BR15" i="44" s="1"/>
  <c r="BR18" i="44" s="1"/>
  <c r="BR19" i="44" s="1"/>
  <c r="BR24" i="44"/>
  <c r="BP10" i="28"/>
  <c r="BP15" i="28" s="1"/>
  <c r="BQ12" i="28" s="1"/>
  <c r="BP64" i="44"/>
  <c r="BQ4" i="75" l="1"/>
  <c r="BQ4" i="74"/>
  <c r="BT5" i="75"/>
  <c r="BT5" i="74"/>
  <c r="BR2" i="75"/>
  <c r="BR2" i="74"/>
  <c r="BP3" i="75"/>
  <c r="BP3" i="74"/>
  <c r="BQ70" i="73"/>
  <c r="BQ58" i="73"/>
  <c r="BQ63" i="73" s="1"/>
  <c r="BR60" i="73" s="1"/>
  <c r="BQ48" i="72"/>
  <c r="BQ33" i="71"/>
  <c r="BQ38" i="71" s="1"/>
  <c r="BR35" i="71" s="1"/>
  <c r="BQ10" i="71"/>
  <c r="BQ15" i="71" s="1"/>
  <c r="BR12" i="71" s="1"/>
  <c r="BR2" i="73"/>
  <c r="BR2" i="71"/>
  <c r="BR2" i="72"/>
  <c r="BP3" i="73"/>
  <c r="BP3" i="72"/>
  <c r="BP3" i="71"/>
  <c r="BT5" i="73"/>
  <c r="BT5" i="70"/>
  <c r="BT5" i="72"/>
  <c r="BT5" i="71"/>
  <c r="BT5" i="69"/>
  <c r="BQ4" i="73"/>
  <c r="BQ4" i="72"/>
  <c r="BQ4" i="71"/>
  <c r="BQ4" i="70"/>
  <c r="BQ4" i="69"/>
  <c r="BP3" i="69"/>
  <c r="BP3" i="70"/>
  <c r="BR2" i="69"/>
  <c r="BR2" i="70"/>
  <c r="BQ4" i="61"/>
  <c r="BQ4" i="63"/>
  <c r="BQ4" i="66"/>
  <c r="BT5" i="61"/>
  <c r="BT5" i="66"/>
  <c r="BT5" i="63"/>
  <c r="BP3" i="61"/>
  <c r="BP3" i="66"/>
  <c r="BP3" i="63"/>
  <c r="BR2" i="61"/>
  <c r="BR2" i="66"/>
  <c r="BR2" i="63"/>
  <c r="BQ4" i="28"/>
  <c r="BQ4" i="57"/>
  <c r="BQ4" i="44"/>
  <c r="BR2" i="28"/>
  <c r="BR2" i="44"/>
  <c r="BR2" i="57"/>
  <c r="BR32" i="44"/>
  <c r="BR33" i="44" s="1"/>
  <c r="BR42" i="44"/>
  <c r="BR43" i="44" s="1"/>
  <c r="BR63" i="44" s="1"/>
  <c r="BR47" i="44"/>
  <c r="BR48" i="44" s="1"/>
  <c r="BR57" i="44"/>
  <c r="BR58" i="44" s="1"/>
  <c r="BR23" i="44"/>
  <c r="BR25" i="44" s="1"/>
  <c r="BR52" i="44"/>
  <c r="BR53" i="44" s="1"/>
  <c r="BR62" i="44" s="1"/>
  <c r="BU9" i="44"/>
  <c r="BT5" i="28"/>
  <c r="BT5" i="44"/>
  <c r="BT5" i="57"/>
  <c r="BT10" i="44"/>
  <c r="BS14" i="44"/>
  <c r="BS15" i="44" s="1"/>
  <c r="BS18" i="44" s="1"/>
  <c r="BS19" i="44" s="1"/>
  <c r="BS24" i="44"/>
  <c r="BQ10" i="28"/>
  <c r="BQ15" i="28" s="1"/>
  <c r="BR12" i="28" s="1"/>
  <c r="BQ64" i="44"/>
  <c r="BP3" i="57"/>
  <c r="BP3" i="28"/>
  <c r="BP3" i="44"/>
  <c r="BR4" i="75" l="1"/>
  <c r="BR4" i="74"/>
  <c r="BU5" i="75"/>
  <c r="BU5" i="74"/>
  <c r="BS2" i="75"/>
  <c r="BS2" i="74"/>
  <c r="BQ3" i="75"/>
  <c r="BQ3" i="74"/>
  <c r="BR70" i="73"/>
  <c r="BR58" i="73"/>
  <c r="BR63" i="73" s="1"/>
  <c r="BS60" i="73" s="1"/>
  <c r="BQ3" i="73"/>
  <c r="BQ3" i="72"/>
  <c r="BQ3" i="71"/>
  <c r="BS2" i="73"/>
  <c r="BS2" i="72"/>
  <c r="BS2" i="71"/>
  <c r="BR48" i="72"/>
  <c r="BR33" i="71"/>
  <c r="BR38" i="71" s="1"/>
  <c r="BS35" i="71" s="1"/>
  <c r="BR10" i="71"/>
  <c r="BR15" i="71" s="1"/>
  <c r="BS12" i="71" s="1"/>
  <c r="BU5" i="73"/>
  <c r="BU5" i="70"/>
  <c r="BU5" i="72"/>
  <c r="BU5" i="71"/>
  <c r="BU5" i="69"/>
  <c r="BR4" i="73"/>
  <c r="BR4" i="71"/>
  <c r="BR4" i="72"/>
  <c r="BR4" i="70"/>
  <c r="BR4" i="69"/>
  <c r="BQ3" i="69"/>
  <c r="BQ3" i="70"/>
  <c r="BS2" i="69"/>
  <c r="BS2" i="70"/>
  <c r="BS2" i="61"/>
  <c r="BS2" i="66"/>
  <c r="BS2" i="63"/>
  <c r="BU5" i="61"/>
  <c r="BU5" i="66"/>
  <c r="BU5" i="63"/>
  <c r="BR4" i="61"/>
  <c r="BR4" i="63"/>
  <c r="BR4" i="66"/>
  <c r="BQ3" i="61"/>
  <c r="BQ3" i="63"/>
  <c r="BQ3" i="66"/>
  <c r="BR4" i="44"/>
  <c r="BR4" i="57"/>
  <c r="BR4" i="28"/>
  <c r="BQ3" i="28"/>
  <c r="BQ3" i="57"/>
  <c r="BQ3" i="44"/>
  <c r="BR64" i="44"/>
  <c r="BS57" i="44"/>
  <c r="BS58" i="44" s="1"/>
  <c r="BS23" i="44"/>
  <c r="BS25" i="44" s="1"/>
  <c r="BS47" i="44"/>
  <c r="BS48" i="44" s="1"/>
  <c r="BS2" i="57"/>
  <c r="BS2" i="44"/>
  <c r="BS52" i="44"/>
  <c r="BS53" i="44" s="1"/>
  <c r="BS62" i="44" s="1"/>
  <c r="BS42" i="44"/>
  <c r="BS43" i="44" s="1"/>
  <c r="BS63" i="44" s="1"/>
  <c r="BS32" i="44"/>
  <c r="BS33" i="44" s="1"/>
  <c r="BS2" i="28"/>
  <c r="BT24" i="44"/>
  <c r="BT14" i="44"/>
  <c r="BT15" i="44" s="1"/>
  <c r="BT18" i="44" s="1"/>
  <c r="BT19" i="44" s="1"/>
  <c r="BU5" i="57"/>
  <c r="BU10" i="44"/>
  <c r="BU5" i="28"/>
  <c r="BU5" i="44"/>
  <c r="BV9" i="44"/>
  <c r="BR10" i="28"/>
  <c r="BR15" i="28" s="1"/>
  <c r="BS12" i="28" s="1"/>
  <c r="BR3" i="75" l="1"/>
  <c r="BR3" i="74"/>
  <c r="BS4" i="75"/>
  <c r="BS4" i="74"/>
  <c r="BT2" i="75"/>
  <c r="BT2" i="74"/>
  <c r="BV5" i="75"/>
  <c r="BV5" i="74"/>
  <c r="BS70" i="73"/>
  <c r="BS58" i="73"/>
  <c r="BS63" i="73" s="1"/>
  <c r="BT60" i="73" s="1"/>
  <c r="BT2" i="73"/>
  <c r="BT2" i="72"/>
  <c r="BT2" i="71"/>
  <c r="BS4" i="73"/>
  <c r="BS4" i="71"/>
  <c r="BS4" i="72"/>
  <c r="BR3" i="73"/>
  <c r="BR3" i="72"/>
  <c r="BR3" i="71"/>
  <c r="BV5" i="73"/>
  <c r="BV5" i="72"/>
  <c r="BV5" i="69"/>
  <c r="BV5" i="71"/>
  <c r="BV5" i="70"/>
  <c r="BS48" i="72"/>
  <c r="BS10" i="71"/>
  <c r="BS15" i="71" s="1"/>
  <c r="BT12" i="71" s="1"/>
  <c r="BS33" i="71"/>
  <c r="BS38" i="71" s="1"/>
  <c r="BT35" i="71" s="1"/>
  <c r="BS4" i="70"/>
  <c r="BS4" i="69"/>
  <c r="BR3" i="69"/>
  <c r="BR3" i="70"/>
  <c r="BT2" i="69"/>
  <c r="BT2" i="70"/>
  <c r="BT2" i="61"/>
  <c r="BT2" i="66"/>
  <c r="BT2" i="63"/>
  <c r="BS4" i="61"/>
  <c r="BS4" i="63"/>
  <c r="BS4" i="66"/>
  <c r="BR3" i="61"/>
  <c r="BR3" i="63"/>
  <c r="BR3" i="66"/>
  <c r="BV5" i="61"/>
  <c r="BV5" i="66"/>
  <c r="BV5" i="63"/>
  <c r="BS64" i="44"/>
  <c r="BS4" i="57"/>
  <c r="BS4" i="28"/>
  <c r="BS4" i="44"/>
  <c r="BS10" i="28"/>
  <c r="BS15" i="28" s="1"/>
  <c r="BT12" i="28" s="1"/>
  <c r="BW9" i="44"/>
  <c r="BV5" i="44"/>
  <c r="BV5" i="57"/>
  <c r="BV5" i="28"/>
  <c r="BV10" i="44"/>
  <c r="BR3" i="44"/>
  <c r="BR3" i="28"/>
  <c r="BR3" i="57"/>
  <c r="BU24" i="44"/>
  <c r="BU14" i="44"/>
  <c r="BU15" i="44" s="1"/>
  <c r="BU18" i="44" s="1"/>
  <c r="BU19" i="44" s="1"/>
  <c r="BT2" i="44"/>
  <c r="BT32" i="44"/>
  <c r="BT33" i="44" s="1"/>
  <c r="BT42" i="44"/>
  <c r="BT43" i="44" s="1"/>
  <c r="BT63" i="44" s="1"/>
  <c r="BT47" i="44"/>
  <c r="BT48" i="44" s="1"/>
  <c r="BT2" i="57"/>
  <c r="BT52" i="44"/>
  <c r="BT53" i="44" s="1"/>
  <c r="BT62" i="44" s="1"/>
  <c r="BT23" i="44"/>
  <c r="BT25" i="44" s="1"/>
  <c r="BT2" i="28"/>
  <c r="BT57" i="44"/>
  <c r="BT58" i="44" s="1"/>
  <c r="BS3" i="75" l="1"/>
  <c r="BS3" i="74"/>
  <c r="BW5" i="75"/>
  <c r="BW5" i="74"/>
  <c r="BU2" i="75"/>
  <c r="BU2" i="74"/>
  <c r="BT4" i="75"/>
  <c r="BT4" i="74"/>
  <c r="BT70" i="73"/>
  <c r="BT58" i="73"/>
  <c r="BT63" i="73" s="1"/>
  <c r="BU60" i="73" s="1"/>
  <c r="BT4" i="73"/>
  <c r="BT4" i="71"/>
  <c r="BT4" i="72"/>
  <c r="BW5" i="73"/>
  <c r="BW5" i="72"/>
  <c r="BW5" i="69"/>
  <c r="BW5" i="71"/>
  <c r="BW5" i="70"/>
  <c r="BT48" i="72"/>
  <c r="BT10" i="71"/>
  <c r="BT15" i="71" s="1"/>
  <c r="BU12" i="71" s="1"/>
  <c r="BT33" i="71"/>
  <c r="BT38" i="71" s="1"/>
  <c r="BU35" i="71" s="1"/>
  <c r="BS3" i="73"/>
  <c r="BS3" i="72"/>
  <c r="BS3" i="71"/>
  <c r="BU2" i="73"/>
  <c r="BU2" i="72"/>
  <c r="BU2" i="71"/>
  <c r="BS3" i="70"/>
  <c r="BS3" i="69"/>
  <c r="BT4" i="70"/>
  <c r="BT4" i="69"/>
  <c r="BU2" i="69"/>
  <c r="BU2" i="70"/>
  <c r="BS3" i="61"/>
  <c r="BS3" i="63"/>
  <c r="BS3" i="66"/>
  <c r="BU2" i="61"/>
  <c r="BU2" i="66"/>
  <c r="BU2" i="63"/>
  <c r="BW5" i="61"/>
  <c r="BW5" i="63"/>
  <c r="BW5" i="66"/>
  <c r="BT4" i="61"/>
  <c r="BT4" i="66"/>
  <c r="BT4" i="63"/>
  <c r="BT64" i="44"/>
  <c r="BS3" i="57"/>
  <c r="BS3" i="44"/>
  <c r="BS3" i="28"/>
  <c r="BT4" i="28"/>
  <c r="BT4" i="57"/>
  <c r="BT4" i="44"/>
  <c r="BU42" i="44"/>
  <c r="BU43" i="44" s="1"/>
  <c r="BU63" i="44" s="1"/>
  <c r="BU2" i="57"/>
  <c r="BU2" i="44"/>
  <c r="BU52" i="44"/>
  <c r="BU53" i="44" s="1"/>
  <c r="BU62" i="44" s="1"/>
  <c r="BU23" i="44"/>
  <c r="BU25" i="44" s="1"/>
  <c r="BU32" i="44"/>
  <c r="BU33" i="44" s="1"/>
  <c r="BU47" i="44"/>
  <c r="BU48" i="44" s="1"/>
  <c r="BU2" i="28"/>
  <c r="BU57" i="44"/>
  <c r="BU58" i="44" s="1"/>
  <c r="BT10" i="28"/>
  <c r="BT15" i="28" s="1"/>
  <c r="BU12" i="28" s="1"/>
  <c r="BW5" i="44"/>
  <c r="BW5" i="28"/>
  <c r="BW10" i="44"/>
  <c r="BX9" i="44"/>
  <c r="BW5" i="57"/>
  <c r="BV14" i="44"/>
  <c r="BV15" i="44" s="1"/>
  <c r="BV18" i="44" s="1"/>
  <c r="BV19" i="44" s="1"/>
  <c r="BV24" i="44"/>
  <c r="BT3" i="75" l="1"/>
  <c r="BT3" i="74"/>
  <c r="BU4" i="75"/>
  <c r="BU4" i="74"/>
  <c r="BX5" i="75"/>
  <c r="BX5" i="74"/>
  <c r="BV2" i="75"/>
  <c r="BV2" i="74"/>
  <c r="BU70" i="73"/>
  <c r="BU58" i="73"/>
  <c r="BU63" i="73" s="1"/>
  <c r="BV60" i="73" s="1"/>
  <c r="BX5" i="73"/>
  <c r="BX5" i="72"/>
  <c r="BX5" i="69"/>
  <c r="BX5" i="71"/>
  <c r="BX5" i="70"/>
  <c r="BU48" i="72"/>
  <c r="BU33" i="71"/>
  <c r="BU38" i="71" s="1"/>
  <c r="BV35" i="71" s="1"/>
  <c r="BU10" i="71"/>
  <c r="BU15" i="71" s="1"/>
  <c r="BV12" i="71" s="1"/>
  <c r="BV2" i="73"/>
  <c r="BV2" i="72"/>
  <c r="BV2" i="71"/>
  <c r="BT3" i="73"/>
  <c r="BT3" i="72"/>
  <c r="BT3" i="71"/>
  <c r="BU4" i="73"/>
  <c r="BU4" i="71"/>
  <c r="BU4" i="72"/>
  <c r="BV2" i="69"/>
  <c r="BV2" i="70"/>
  <c r="BT3" i="70"/>
  <c r="BT3" i="69"/>
  <c r="BU4" i="69"/>
  <c r="BU4" i="70"/>
  <c r="BT3" i="61"/>
  <c r="BT3" i="63"/>
  <c r="BT3" i="66"/>
  <c r="BU4" i="61"/>
  <c r="BU4" i="66"/>
  <c r="BU4" i="63"/>
  <c r="BV2" i="61"/>
  <c r="BV2" i="63"/>
  <c r="BV2" i="66"/>
  <c r="BX5" i="61"/>
  <c r="BX5" i="63"/>
  <c r="BX5" i="66"/>
  <c r="BT3" i="57"/>
  <c r="BT3" i="28"/>
  <c r="BT3" i="44"/>
  <c r="BU64" i="44"/>
  <c r="BU4" i="28"/>
  <c r="BU4" i="57"/>
  <c r="BU4" i="44"/>
  <c r="BU10" i="28"/>
  <c r="BU15" i="28" s="1"/>
  <c r="BV12" i="28" s="1"/>
  <c r="BV57" i="44"/>
  <c r="BV58" i="44" s="1"/>
  <c r="BV42" i="44"/>
  <c r="BV43" i="44" s="1"/>
  <c r="BV63" i="44" s="1"/>
  <c r="BV52" i="44"/>
  <c r="BV53" i="44" s="1"/>
  <c r="BV62" i="44" s="1"/>
  <c r="BV2" i="44"/>
  <c r="BV23" i="44"/>
  <c r="BV25" i="44" s="1"/>
  <c r="BV2" i="57"/>
  <c r="BV47" i="44"/>
  <c r="BV48" i="44" s="1"/>
  <c r="BV32" i="44"/>
  <c r="BV33" i="44" s="1"/>
  <c r="BV2" i="28"/>
  <c r="BX5" i="57"/>
  <c r="BX5" i="44"/>
  <c r="BX10" i="44"/>
  <c r="BY9" i="44"/>
  <c r="BX5" i="28"/>
  <c r="BW24" i="44"/>
  <c r="BW14" i="44"/>
  <c r="BW15" i="44" s="1"/>
  <c r="BW18" i="44" s="1"/>
  <c r="BW19" i="44" s="1"/>
  <c r="BU3" i="75" l="1"/>
  <c r="BU3" i="74"/>
  <c r="BV4" i="75"/>
  <c r="BV4" i="74"/>
  <c r="BY5" i="75"/>
  <c r="BY5" i="74"/>
  <c r="BW2" i="75"/>
  <c r="BW2" i="74"/>
  <c r="BV58" i="73"/>
  <c r="BV63" i="73" s="1"/>
  <c r="BW60" i="73" s="1"/>
  <c r="BV70" i="73"/>
  <c r="BY5" i="73"/>
  <c r="BY5" i="72"/>
  <c r="BY5" i="71"/>
  <c r="BY5" i="69"/>
  <c r="BY5" i="70"/>
  <c r="BW2" i="73"/>
  <c r="BW2" i="72"/>
  <c r="BW2" i="71"/>
  <c r="BU3" i="73"/>
  <c r="BU3" i="72"/>
  <c r="BU3" i="71"/>
  <c r="BV48" i="72"/>
  <c r="BV33" i="71"/>
  <c r="BV38" i="71" s="1"/>
  <c r="BW35" i="71" s="1"/>
  <c r="BV10" i="71"/>
  <c r="BV15" i="71" s="1"/>
  <c r="BW12" i="71" s="1"/>
  <c r="BV4" i="73"/>
  <c r="BV4" i="71"/>
  <c r="BV4" i="72"/>
  <c r="BV4" i="69"/>
  <c r="BV4" i="70"/>
  <c r="BW2" i="70"/>
  <c r="BW2" i="69"/>
  <c r="BU3" i="70"/>
  <c r="BU3" i="69"/>
  <c r="BU3" i="63"/>
  <c r="BU3" i="66"/>
  <c r="BV4" i="61"/>
  <c r="BV4" i="66"/>
  <c r="BV4" i="63"/>
  <c r="BW2" i="61"/>
  <c r="BW2" i="63"/>
  <c r="BW2" i="66"/>
  <c r="BY5" i="61"/>
  <c r="BY5" i="63"/>
  <c r="BY5" i="66"/>
  <c r="BU3" i="57"/>
  <c r="BU3" i="61"/>
  <c r="BU3" i="44"/>
  <c r="BU3" i="28"/>
  <c r="BV64" i="44"/>
  <c r="BY10" i="44"/>
  <c r="BY5" i="57"/>
  <c r="BY5" i="44"/>
  <c r="BY5" i="28"/>
  <c r="BV10" i="28"/>
  <c r="BV15" i="28" s="1"/>
  <c r="BW12" i="28" s="1"/>
  <c r="BW2" i="28"/>
  <c r="BW32" i="44"/>
  <c r="BW33" i="44" s="1"/>
  <c r="BW2" i="44"/>
  <c r="BW42" i="44"/>
  <c r="BW43" i="44" s="1"/>
  <c r="BW63" i="44" s="1"/>
  <c r="BW2" i="57"/>
  <c r="BW47" i="44"/>
  <c r="BW48" i="44" s="1"/>
  <c r="BW23" i="44"/>
  <c r="BW25" i="44" s="1"/>
  <c r="BW52" i="44"/>
  <c r="BW53" i="44" s="1"/>
  <c r="BW62" i="44" s="1"/>
  <c r="BW57" i="44"/>
  <c r="BW58" i="44" s="1"/>
  <c r="BV4" i="44"/>
  <c r="BV4" i="28"/>
  <c r="BV4" i="57"/>
  <c r="BX14" i="44"/>
  <c r="BX15" i="44" s="1"/>
  <c r="BX18" i="44" s="1"/>
  <c r="BX19" i="44" s="1"/>
  <c r="BX24" i="44"/>
  <c r="BV3" i="75" l="1"/>
  <c r="BV3" i="74"/>
  <c r="BW4" i="75"/>
  <c r="BW4" i="74"/>
  <c r="BX2" i="75"/>
  <c r="BX2" i="74"/>
  <c r="BW58" i="73"/>
  <c r="BW63" i="73" s="1"/>
  <c r="BX60" i="73" s="1"/>
  <c r="BW70" i="73"/>
  <c r="BV3" i="73"/>
  <c r="BV3" i="72"/>
  <c r="BV3" i="71"/>
  <c r="BW4" i="73"/>
  <c r="BW4" i="71"/>
  <c r="BW4" i="72"/>
  <c r="BX2" i="73"/>
  <c r="BX2" i="72"/>
  <c r="BX2" i="71"/>
  <c r="BW48" i="72"/>
  <c r="BW33" i="71"/>
  <c r="BW38" i="71" s="1"/>
  <c r="BX35" i="71" s="1"/>
  <c r="BW10" i="71"/>
  <c r="BW15" i="71" s="1"/>
  <c r="BX12" i="71" s="1"/>
  <c r="BX2" i="70"/>
  <c r="BX2" i="69"/>
  <c r="BV3" i="70"/>
  <c r="BV3" i="69"/>
  <c r="BW4" i="69"/>
  <c r="BW4" i="70"/>
  <c r="BV3" i="63"/>
  <c r="BV3" i="66"/>
  <c r="BW4" i="61"/>
  <c r="BW4" i="66"/>
  <c r="BW4" i="63"/>
  <c r="BX2" i="61"/>
  <c r="BX2" i="63"/>
  <c r="BX2" i="66"/>
  <c r="BV3" i="28"/>
  <c r="BV3" i="61"/>
  <c r="BW64" i="44"/>
  <c r="BV3" i="44"/>
  <c r="BV3" i="57"/>
  <c r="BW4" i="28"/>
  <c r="BW4" i="44"/>
  <c r="BW4" i="57"/>
  <c r="BW10" i="28"/>
  <c r="BW15" i="28" s="1"/>
  <c r="BX12" i="28" s="1"/>
  <c r="BY14" i="44"/>
  <c r="BY15" i="44" s="1"/>
  <c r="BY18" i="44" s="1"/>
  <c r="BY19" i="44" s="1"/>
  <c r="BY24" i="44"/>
  <c r="H10" i="44"/>
  <c r="BX2" i="57"/>
  <c r="BX2" i="44"/>
  <c r="BX2" i="28"/>
  <c r="BX32" i="44"/>
  <c r="BX33" i="44" s="1"/>
  <c r="BX23" i="44"/>
  <c r="BX25" i="44" s="1"/>
  <c r="BX57" i="44"/>
  <c r="BX58" i="44" s="1"/>
  <c r="BX47" i="44"/>
  <c r="BX48" i="44" s="1"/>
  <c r="BX42" i="44"/>
  <c r="BX43" i="44" s="1"/>
  <c r="BX63" i="44" s="1"/>
  <c r="BX52" i="44"/>
  <c r="BX53" i="44" s="1"/>
  <c r="BX62" i="44" s="1"/>
  <c r="BW3" i="28" l="1"/>
  <c r="BW3" i="75"/>
  <c r="BW3" i="74"/>
  <c r="BY2" i="75"/>
  <c r="BY2" i="74"/>
  <c r="BX4" i="75"/>
  <c r="BX4" i="74"/>
  <c r="BX58" i="73"/>
  <c r="BX63" i="73" s="1"/>
  <c r="BY60" i="73" s="1"/>
  <c r="BX70" i="73"/>
  <c r="BX4" i="73"/>
  <c r="BX4" i="71"/>
  <c r="BX4" i="72"/>
  <c r="BW3" i="73"/>
  <c r="BW3" i="71"/>
  <c r="BW3" i="72"/>
  <c r="BX48" i="72"/>
  <c r="BX33" i="71"/>
  <c r="BX38" i="71" s="1"/>
  <c r="BY35" i="71" s="1"/>
  <c r="BX10" i="71"/>
  <c r="BX15" i="71" s="1"/>
  <c r="BY12" i="71" s="1"/>
  <c r="BY2" i="73"/>
  <c r="BY2" i="72"/>
  <c r="BY2" i="71"/>
  <c r="BY2" i="69"/>
  <c r="BY2" i="70"/>
  <c r="BX4" i="69"/>
  <c r="BX4" i="70"/>
  <c r="BW3" i="70"/>
  <c r="BW3" i="69"/>
  <c r="BW3" i="61"/>
  <c r="BW3" i="63"/>
  <c r="BW3" i="66"/>
  <c r="BX4" i="61"/>
  <c r="BX4" i="66"/>
  <c r="BX4" i="63"/>
  <c r="BY2" i="61"/>
  <c r="BY2" i="66"/>
  <c r="BY2" i="63"/>
  <c r="BW3" i="57"/>
  <c r="BW3" i="44"/>
  <c r="BX4" i="57"/>
  <c r="BX4" i="28"/>
  <c r="BX4" i="44"/>
  <c r="BX10" i="28"/>
  <c r="BX15" i="28" s="1"/>
  <c r="BY12" i="28" s="1"/>
  <c r="BY32" i="44"/>
  <c r="BY33" i="44" s="1"/>
  <c r="BY2" i="28"/>
  <c r="BY2" i="57"/>
  <c r="BY52" i="44"/>
  <c r="BY53" i="44" s="1"/>
  <c r="BY2" i="44"/>
  <c r="BY23" i="44"/>
  <c r="BY25" i="44" s="1"/>
  <c r="BY42" i="44"/>
  <c r="BY43" i="44" s="1"/>
  <c r="BY57" i="44"/>
  <c r="BY58" i="44" s="1"/>
  <c r="H58" i="44" s="1"/>
  <c r="H28" i="75" s="1"/>
  <c r="BY47" i="44"/>
  <c r="BY48" i="44" s="1"/>
  <c r="H48" i="44" s="1"/>
  <c r="H18" i="75" s="1"/>
  <c r="H24" i="44"/>
  <c r="H14" i="44"/>
  <c r="BX64" i="44"/>
  <c r="BY4" i="75" l="1"/>
  <c r="BY4" i="74"/>
  <c r="BX3" i="75"/>
  <c r="BX3" i="74"/>
  <c r="BY58" i="73"/>
  <c r="BY63" i="73" s="1"/>
  <c r="BY70" i="73"/>
  <c r="BY4" i="73"/>
  <c r="BY4" i="72"/>
  <c r="BY4" i="71"/>
  <c r="BY48" i="72"/>
  <c r="BY33" i="71"/>
  <c r="BY38" i="71" s="1"/>
  <c r="BY10" i="71"/>
  <c r="BY15" i="71" s="1"/>
  <c r="BX3" i="73"/>
  <c r="BX3" i="71"/>
  <c r="BX3" i="72"/>
  <c r="BY4" i="69"/>
  <c r="BY4" i="70"/>
  <c r="BX3" i="70"/>
  <c r="BX3" i="69"/>
  <c r="BX3" i="61"/>
  <c r="BX3" i="66"/>
  <c r="BX3" i="63"/>
  <c r="H38" i="61"/>
  <c r="H23" i="61"/>
  <c r="BY4" i="61"/>
  <c r="BY4" i="66"/>
  <c r="BY4" i="63"/>
  <c r="BY4" i="57"/>
  <c r="BY4" i="44"/>
  <c r="BY4" i="28"/>
  <c r="BX3" i="28"/>
  <c r="BX3" i="57"/>
  <c r="BX3" i="44"/>
  <c r="BY63" i="44"/>
  <c r="H43" i="44"/>
  <c r="BY62" i="44"/>
  <c r="H53" i="44"/>
  <c r="H62" i="44" s="1"/>
  <c r="BY10" i="28"/>
  <c r="BY15" i="28" s="1"/>
  <c r="H33" i="44"/>
  <c r="H57" i="75" l="1"/>
  <c r="H44" i="75"/>
  <c r="H20" i="75" s="1"/>
  <c r="H85" i="74"/>
  <c r="H58" i="74"/>
  <c r="H31" i="74"/>
  <c r="H70" i="73"/>
  <c r="H58" i="73"/>
  <c r="H76" i="73"/>
  <c r="H64" i="73"/>
  <c r="H51" i="73"/>
  <c r="H54" i="72"/>
  <c r="H138" i="69"/>
  <c r="H130" i="69"/>
  <c r="H74" i="71"/>
  <c r="H61" i="71"/>
  <c r="H48" i="72"/>
  <c r="H10" i="71"/>
  <c r="H33" i="71"/>
  <c r="H112" i="69"/>
  <c r="H85" i="69"/>
  <c r="H95" i="69"/>
  <c r="H56" i="69"/>
  <c r="H29" i="69"/>
  <c r="H39" i="69"/>
  <c r="H37" i="61"/>
  <c r="H22" i="61"/>
  <c r="BY64" i="44"/>
  <c r="H10" i="28"/>
  <c r="H63" i="44"/>
  <c r="BY3" i="75" l="1"/>
  <c r="BY3" i="74"/>
  <c r="BY3" i="73"/>
  <c r="BY3" i="71"/>
  <c r="BY3" i="72"/>
  <c r="BY3" i="70"/>
  <c r="BY3" i="69"/>
  <c r="BY3" i="61"/>
  <c r="BY3" i="66"/>
  <c r="BY3" i="63"/>
  <c r="BY3" i="44"/>
  <c r="BY3" i="28"/>
  <c r="BY3" i="57"/>
  <c r="P11" i="57"/>
  <c r="Q11" i="57"/>
  <c r="R11" i="57"/>
  <c r="S11" i="57"/>
  <c r="T11" i="57"/>
  <c r="U11" i="57"/>
  <c r="P13" i="61"/>
  <c r="P14" i="61" s="1"/>
  <c r="Q13" i="61"/>
  <c r="Q14" i="61" s="1"/>
  <c r="R13" i="61"/>
  <c r="R14" i="61" s="1"/>
  <c r="S13" i="61"/>
  <c r="S14" i="61" s="1"/>
  <c r="T13" i="61"/>
  <c r="U13" i="61"/>
  <c r="V14" i="61"/>
  <c r="T14" i="61" l="1"/>
  <c r="U14" i="61"/>
  <c r="F14" i="61" s="1"/>
  <c r="T12" i="63"/>
  <c r="T13" i="63" s="1"/>
  <c r="T50" i="63"/>
  <c r="T31" i="63"/>
  <c r="T54" i="61"/>
  <c r="S12" i="63"/>
  <c r="S13" i="63" s="1"/>
  <c r="S50" i="63"/>
  <c r="S31" i="63"/>
  <c r="S54" i="61"/>
  <c r="Q12" i="63"/>
  <c r="Q13" i="63" s="1"/>
  <c r="Q54" i="61"/>
  <c r="Q50" i="63"/>
  <c r="Q31" i="63"/>
  <c r="T13" i="57"/>
  <c r="T15" i="57" s="1"/>
  <c r="T19" i="57" s="1"/>
  <c r="T21" i="57" s="1"/>
  <c r="T23" i="57" s="1"/>
  <c r="P50" i="63"/>
  <c r="P31" i="63"/>
  <c r="P54" i="61"/>
  <c r="S13" i="57"/>
  <c r="S15" i="57" s="1"/>
  <c r="S19" i="57" s="1"/>
  <c r="R12" i="63"/>
  <c r="R13" i="63" s="1"/>
  <c r="R50" i="63"/>
  <c r="R54" i="61"/>
  <c r="R31" i="63"/>
  <c r="R13" i="57"/>
  <c r="R15" i="57" s="1"/>
  <c r="R19" i="57" s="1"/>
  <c r="Q13" i="57"/>
  <c r="Q15" i="57" s="1"/>
  <c r="Q19" i="57" s="1"/>
  <c r="U12" i="63"/>
  <c r="U13" i="63" s="1"/>
  <c r="U50" i="63"/>
  <c r="U31" i="63"/>
  <c r="U54" i="61"/>
  <c r="P13" i="57"/>
  <c r="P15" i="57" s="1"/>
  <c r="P19" i="57" s="1"/>
  <c r="P12" i="63"/>
  <c r="P13" i="63" s="1"/>
  <c r="U13" i="57"/>
  <c r="U15" i="57" s="1"/>
  <c r="U19" i="57" s="1"/>
  <c r="P74" i="57"/>
  <c r="P77" i="57" s="1"/>
  <c r="P90" i="57" s="1"/>
  <c r="P94" i="57" s="1"/>
  <c r="P95" i="57" s="1"/>
  <c r="P97" i="57" s="1"/>
  <c r="Q93" i="57" s="1"/>
  <c r="P21" i="57"/>
  <c r="P23" i="57" s="1"/>
  <c r="S21" i="57" l="1"/>
  <c r="S23" i="57" s="1"/>
  <c r="S74" i="57"/>
  <c r="S77" i="57" s="1"/>
  <c r="S90" i="57" s="1"/>
  <c r="S94" i="57" s="1"/>
  <c r="R21" i="57"/>
  <c r="R23" i="57" s="1"/>
  <c r="R74" i="57"/>
  <c r="R77" i="57" s="1"/>
  <c r="R90" i="57" s="1"/>
  <c r="R94" i="57" s="1"/>
  <c r="Q21" i="57"/>
  <c r="Q23" i="57" s="1"/>
  <c r="Q74" i="57"/>
  <c r="Q77" i="57" s="1"/>
  <c r="Q90" i="57" s="1"/>
  <c r="Q94" i="57" s="1"/>
  <c r="U21" i="57"/>
  <c r="U23" i="57" s="1"/>
  <c r="U74" i="57"/>
  <c r="U77" i="57" s="1"/>
  <c r="U90" i="57" s="1"/>
  <c r="U94" i="57" s="1"/>
  <c r="T25" i="57"/>
  <c r="T11" i="72"/>
  <c r="T13" i="72" s="1"/>
  <c r="T30" i="72"/>
  <c r="Q25" i="57"/>
  <c r="Q11" i="72"/>
  <c r="Q13" i="72" s="1"/>
  <c r="Q30" i="72"/>
  <c r="P25" i="57"/>
  <c r="P11" i="72"/>
  <c r="P13" i="72" s="1"/>
  <c r="P30" i="72"/>
  <c r="R25" i="57"/>
  <c r="R11" i="72"/>
  <c r="R13" i="72" s="1"/>
  <c r="R30" i="72"/>
  <c r="T74" i="57"/>
  <c r="T77" i="57" s="1"/>
  <c r="T90" i="57" s="1"/>
  <c r="T94" i="57" s="1"/>
  <c r="U25" i="57"/>
  <c r="U11" i="72"/>
  <c r="U13" i="72" s="1"/>
  <c r="U30" i="72"/>
  <c r="F13" i="63"/>
  <c r="S25" i="57"/>
  <c r="S11" i="72"/>
  <c r="S13" i="72" s="1"/>
  <c r="S30" i="72"/>
  <c r="Q95" i="57"/>
  <c r="Q97" i="57" s="1"/>
  <c r="R93" i="57" s="1"/>
  <c r="R95" i="57" s="1"/>
  <c r="R97" i="57" s="1"/>
  <c r="S93" i="57" s="1"/>
  <c r="S95" i="57" s="1"/>
  <c r="S97" i="57" s="1"/>
  <c r="T93" i="57" s="1"/>
  <c r="T95" i="57" l="1"/>
  <c r="T97" i="57" s="1"/>
  <c r="U93" i="57" s="1"/>
  <c r="U95" i="57" s="1"/>
  <c r="U97" i="57" s="1"/>
  <c r="V93" i="57" s="1"/>
  <c r="V95" i="57" s="1"/>
  <c r="V97" i="57" s="1"/>
  <c r="W93" i="57" s="1"/>
  <c r="W95" i="57" s="1"/>
  <c r="W97" i="57" s="1"/>
  <c r="F13" i="72"/>
  <c r="W69" i="66"/>
  <c r="E13" i="70" a="1"/>
  <c r="E13" i="70" s="1"/>
  <c r="E16" i="61" s="1"/>
  <c r="E21" i="61" s="1"/>
  <c r="W13" i="70"/>
  <c r="J13" i="70"/>
  <c r="J16" i="61" s="1"/>
  <c r="J21" i="61" s="1"/>
  <c r="J24" i="61" s="1"/>
  <c r="K13" i="70"/>
  <c r="K16" i="61" s="1"/>
  <c r="K21" i="61" s="1"/>
  <c r="P13" i="70"/>
  <c r="P16" i="61" s="1"/>
  <c r="P21" i="61" s="1"/>
  <c r="P24" i="61" s="1"/>
  <c r="L13" i="70"/>
  <c r="L16" i="61" s="1"/>
  <c r="L21" i="61" s="1"/>
  <c r="R13" i="70"/>
  <c r="R16" i="61" s="1"/>
  <c r="R21" i="61" s="1"/>
  <c r="N13" i="70"/>
  <c r="N16" i="61" s="1"/>
  <c r="N21" i="61" s="1"/>
  <c r="S13" i="70"/>
  <c r="S16" i="61" s="1"/>
  <c r="S21" i="61" s="1"/>
  <c r="O13" i="70"/>
  <c r="O16" i="61" s="1"/>
  <c r="O21" i="61" s="1"/>
  <c r="T13" i="70"/>
  <c r="T16" i="61" s="1"/>
  <c r="T21" i="61" s="1"/>
  <c r="M13" i="70"/>
  <c r="M16" i="61" s="1"/>
  <c r="M21" i="61" s="1"/>
  <c r="Q13" i="70"/>
  <c r="Q16" i="61" s="1"/>
  <c r="Q21" i="61" s="1"/>
  <c r="U13" i="70"/>
  <c r="U16" i="61" s="1"/>
  <c r="U21" i="61" s="1"/>
  <c r="V13" i="70"/>
  <c r="F16" i="61"/>
  <c r="F21" i="61" s="1"/>
  <c r="J45" i="61" l="1"/>
  <c r="J47" i="61" s="1"/>
  <c r="K24" i="61"/>
  <c r="P45" i="61"/>
  <c r="P47" i="61" s="1"/>
  <c r="P9" i="66"/>
  <c r="Q24" i="61"/>
  <c r="J22" i="63" l="1"/>
  <c r="J23" i="63" s="1"/>
  <c r="J64" i="61"/>
  <c r="J41" i="63"/>
  <c r="J42" i="63" s="1"/>
  <c r="J60" i="63"/>
  <c r="J61" i="63" s="1"/>
  <c r="L24" i="61"/>
  <c r="K45" i="61"/>
  <c r="K47" i="61" s="1"/>
  <c r="P60" i="63"/>
  <c r="P61" i="63" s="1"/>
  <c r="P62" i="63" s="1"/>
  <c r="P17" i="66" s="1"/>
  <c r="P41" i="63"/>
  <c r="P42" i="63" s="1"/>
  <c r="P43" i="63" s="1"/>
  <c r="P16" i="66" s="1"/>
  <c r="P64" i="61"/>
  <c r="P22" i="63"/>
  <c r="P23" i="63" s="1"/>
  <c r="P24" i="63" s="1"/>
  <c r="P11" i="66"/>
  <c r="AF12" i="78" s="1"/>
  <c r="R24" i="61"/>
  <c r="Q9" i="66"/>
  <c r="Q11" i="66" s="1"/>
  <c r="AG12" i="78" s="1"/>
  <c r="Q45" i="61"/>
  <c r="Q47" i="61" s="1"/>
  <c r="AF13" i="78" l="1"/>
  <c r="AG13" i="78"/>
  <c r="J24" i="63"/>
  <c r="J50" i="74"/>
  <c r="J52" i="74" s="1"/>
  <c r="J65" i="61"/>
  <c r="J43" i="63"/>
  <c r="J62" i="63"/>
  <c r="L45" i="61"/>
  <c r="L47" i="61" s="1"/>
  <c r="M24" i="61"/>
  <c r="K64" i="61"/>
  <c r="K60" i="63"/>
  <c r="K61" i="63" s="1"/>
  <c r="K62" i="63" s="1"/>
  <c r="K41" i="63"/>
  <c r="K42" i="63" s="1"/>
  <c r="K43" i="63" s="1"/>
  <c r="K22" i="63"/>
  <c r="K23" i="63" s="1"/>
  <c r="P49" i="63"/>
  <c r="P51" i="63" s="1"/>
  <c r="P30" i="63"/>
  <c r="P32" i="63" s="1"/>
  <c r="P18" i="66"/>
  <c r="P50" i="74"/>
  <c r="P52" i="74" s="1"/>
  <c r="P39" i="66" s="1"/>
  <c r="P65" i="61"/>
  <c r="P14" i="66" s="1"/>
  <c r="P12" i="66"/>
  <c r="P13" i="66" s="1"/>
  <c r="P77" i="74"/>
  <c r="P79" i="74" s="1"/>
  <c r="P57" i="66" s="1"/>
  <c r="P23" i="74"/>
  <c r="P25" i="74" s="1"/>
  <c r="P38" i="66" s="1"/>
  <c r="P40" i="74"/>
  <c r="S24" i="61"/>
  <c r="R45" i="61"/>
  <c r="R47" i="61" s="1"/>
  <c r="R9" i="66"/>
  <c r="Q40" i="74"/>
  <c r="Q60" i="63"/>
  <c r="Q61" i="63" s="1"/>
  <c r="Q62" i="63" s="1"/>
  <c r="Q17" i="66" s="1"/>
  <c r="Q49" i="63" s="1"/>
  <c r="Q51" i="63" s="1"/>
  <c r="Q64" i="61"/>
  <c r="Q22" i="63"/>
  <c r="Q23" i="63" s="1"/>
  <c r="Q24" i="63" s="1"/>
  <c r="Q41" i="63"/>
  <c r="Q42" i="63" s="1"/>
  <c r="Q43" i="63" s="1"/>
  <c r="Q16" i="66" s="1"/>
  <c r="J23" i="74" l="1"/>
  <c r="J25" i="74" s="1"/>
  <c r="J77" i="74"/>
  <c r="J79" i="74" s="1"/>
  <c r="L64" i="61"/>
  <c r="L60" i="63"/>
  <c r="L61" i="63" s="1"/>
  <c r="L22" i="63"/>
  <c r="L23" i="63" s="1"/>
  <c r="L24" i="63" s="1"/>
  <c r="L41" i="63"/>
  <c r="L42" i="63" s="1"/>
  <c r="M45" i="61"/>
  <c r="M47" i="61" s="1"/>
  <c r="N24" i="61"/>
  <c r="K65" i="61"/>
  <c r="K50" i="74"/>
  <c r="K52" i="74" s="1"/>
  <c r="P39" i="74"/>
  <c r="P41" i="74" s="1"/>
  <c r="P56" i="74"/>
  <c r="P53" i="61"/>
  <c r="P55" i="61" s="1"/>
  <c r="P67" i="74"/>
  <c r="P13" i="74"/>
  <c r="P66" i="74"/>
  <c r="P83" i="74"/>
  <c r="P84" i="74" s="1"/>
  <c r="P86" i="74" s="1"/>
  <c r="P29" i="74"/>
  <c r="P12" i="74"/>
  <c r="P15" i="66"/>
  <c r="S45" i="61"/>
  <c r="S47" i="61" s="1"/>
  <c r="S9" i="66"/>
  <c r="T24" i="61"/>
  <c r="R64" i="61"/>
  <c r="R41" i="63"/>
  <c r="R42" i="63" s="1"/>
  <c r="R43" i="63" s="1"/>
  <c r="R16" i="66" s="1"/>
  <c r="R22" i="63"/>
  <c r="R23" i="63" s="1"/>
  <c r="R24" i="63" s="1"/>
  <c r="R60" i="63"/>
  <c r="R61" i="63" s="1"/>
  <c r="R62" i="63" s="1"/>
  <c r="R17" i="66" s="1"/>
  <c r="R11" i="66"/>
  <c r="AH12" i="78" s="1"/>
  <c r="Q65" i="61"/>
  <c r="Q14" i="66" s="1"/>
  <c r="Q53" i="61" s="1"/>
  <c r="Q55" i="61" s="1"/>
  <c r="Q50" i="74"/>
  <c r="Q52" i="74" s="1"/>
  <c r="Q39" i="66" s="1"/>
  <c r="Q12" i="66"/>
  <c r="Q77" i="74"/>
  <c r="Q79" i="74" s="1"/>
  <c r="Q57" i="66" s="1"/>
  <c r="Q23" i="74"/>
  <c r="Q25" i="74" s="1"/>
  <c r="Q38" i="66" s="1"/>
  <c r="Q18" i="66"/>
  <c r="Q30" i="63"/>
  <c r="Q32" i="63" s="1"/>
  <c r="K24" i="63"/>
  <c r="AH13" i="78" l="1"/>
  <c r="P14" i="74"/>
  <c r="L65" i="61"/>
  <c r="L50" i="74"/>
  <c r="L52" i="74" s="1"/>
  <c r="L62" i="63"/>
  <c r="L77" i="74"/>
  <c r="L79" i="74" s="1"/>
  <c r="L23" i="74"/>
  <c r="L25" i="74" s="1"/>
  <c r="L43" i="63"/>
  <c r="M22" i="63"/>
  <c r="M23" i="63" s="1"/>
  <c r="M64" i="61"/>
  <c r="M60" i="63"/>
  <c r="M61" i="63" s="1"/>
  <c r="M41" i="63"/>
  <c r="M42" i="63" s="1"/>
  <c r="N45" i="61"/>
  <c r="N47" i="61" s="1"/>
  <c r="O24" i="61"/>
  <c r="P57" i="74"/>
  <c r="P59" i="74" s="1"/>
  <c r="P90" i="74"/>
  <c r="P30" i="74"/>
  <c r="P32" i="74" s="1"/>
  <c r="P19" i="66"/>
  <c r="AF16" i="78" s="1"/>
  <c r="S64" i="61"/>
  <c r="S22" i="63"/>
  <c r="S23" i="63" s="1"/>
  <c r="S24" i="63" s="1"/>
  <c r="S60" i="63"/>
  <c r="S61" i="63" s="1"/>
  <c r="S62" i="63" s="1"/>
  <c r="S17" i="66" s="1"/>
  <c r="S41" i="63"/>
  <c r="S42" i="63" s="1"/>
  <c r="S43" i="63" s="1"/>
  <c r="S16" i="66" s="1"/>
  <c r="T9" i="66"/>
  <c r="T11" i="66" s="1"/>
  <c r="AJ12" i="78" s="1"/>
  <c r="T45" i="61"/>
  <c r="T47" i="61" s="1"/>
  <c r="U24" i="61"/>
  <c r="R65" i="61"/>
  <c r="R14" i="66" s="1"/>
  <c r="R50" i="74"/>
  <c r="R52" i="74" s="1"/>
  <c r="R39" i="66" s="1"/>
  <c r="R18" i="66"/>
  <c r="R30" i="63"/>
  <c r="R32" i="63" s="1"/>
  <c r="R12" i="66"/>
  <c r="R13" i="66" s="1"/>
  <c r="R23" i="74"/>
  <c r="R25" i="74" s="1"/>
  <c r="R38" i="66" s="1"/>
  <c r="R77" i="74"/>
  <c r="R79" i="74" s="1"/>
  <c r="R57" i="66" s="1"/>
  <c r="R49" i="63"/>
  <c r="R51" i="63" s="1"/>
  <c r="R40" i="74"/>
  <c r="Q56" i="74"/>
  <c r="Q57" i="74" s="1"/>
  <c r="Q59" i="74" s="1"/>
  <c r="Q91" i="74" s="1"/>
  <c r="Q39" i="74"/>
  <c r="Q41" i="74" s="1"/>
  <c r="Q13" i="66"/>
  <c r="Q13" i="74"/>
  <c r="Q67" i="74"/>
  <c r="Q83" i="74"/>
  <c r="Q84" i="74" s="1"/>
  <c r="Q86" i="74" s="1"/>
  <c r="Q90" i="74" s="1"/>
  <c r="Q66" i="74"/>
  <c r="Q29" i="74"/>
  <c r="Q30" i="74" s="1"/>
  <c r="Q32" i="74" s="1"/>
  <c r="Q92" i="74" s="1"/>
  <c r="Q12" i="74"/>
  <c r="K23" i="74"/>
  <c r="K25" i="74" s="1"/>
  <c r="K77" i="74"/>
  <c r="K79" i="74" s="1"/>
  <c r="P68" i="74"/>
  <c r="S11" i="66"/>
  <c r="AI12" i="78" s="1"/>
  <c r="AF17" i="78" l="1"/>
  <c r="AF18" i="78"/>
  <c r="AI13" i="78"/>
  <c r="AJ13" i="78"/>
  <c r="R15" i="66"/>
  <c r="R19" i="66" s="1"/>
  <c r="AH16" i="78" s="1"/>
  <c r="M24" i="63"/>
  <c r="M50" i="74"/>
  <c r="M52" i="74" s="1"/>
  <c r="M65" i="61"/>
  <c r="N22" i="63"/>
  <c r="N23" i="63" s="1"/>
  <c r="N60" i="63"/>
  <c r="N61" i="63" s="1"/>
  <c r="N62" i="63" s="1"/>
  <c r="N64" i="61"/>
  <c r="N41" i="63"/>
  <c r="N42" i="63" s="1"/>
  <c r="N43" i="63" s="1"/>
  <c r="P91" i="74"/>
  <c r="P92" i="74"/>
  <c r="P74" i="66"/>
  <c r="P9" i="75"/>
  <c r="P21" i="66"/>
  <c r="S50" i="74"/>
  <c r="S52" i="74" s="1"/>
  <c r="S39" i="66" s="1"/>
  <c r="S65" i="61"/>
  <c r="S14" i="66" s="1"/>
  <c r="S53" i="61" s="1"/>
  <c r="S55" i="61" s="1"/>
  <c r="S77" i="74"/>
  <c r="S79" i="74" s="1"/>
  <c r="S57" i="66" s="1"/>
  <c r="S23" i="74"/>
  <c r="S25" i="74" s="1"/>
  <c r="S38" i="66" s="1"/>
  <c r="S12" i="66"/>
  <c r="S13" i="66" s="1"/>
  <c r="S18" i="66"/>
  <c r="S30" i="63"/>
  <c r="S32" i="63" s="1"/>
  <c r="T40" i="74"/>
  <c r="T60" i="63"/>
  <c r="T61" i="63" s="1"/>
  <c r="T62" i="63" s="1"/>
  <c r="T17" i="66" s="1"/>
  <c r="T49" i="63" s="1"/>
  <c r="T51" i="63" s="1"/>
  <c r="T22" i="63"/>
  <c r="T23" i="63" s="1"/>
  <c r="T24" i="63" s="1"/>
  <c r="T41" i="63"/>
  <c r="T42" i="63" s="1"/>
  <c r="T43" i="63" s="1"/>
  <c r="T16" i="66" s="1"/>
  <c r="T64" i="61"/>
  <c r="V24" i="61"/>
  <c r="U9" i="66"/>
  <c r="U45" i="61"/>
  <c r="U47" i="61" s="1"/>
  <c r="R53" i="61"/>
  <c r="R55" i="61" s="1"/>
  <c r="R39" i="74"/>
  <c r="R41" i="74" s="1"/>
  <c r="R56" i="74"/>
  <c r="R67" i="74"/>
  <c r="R13" i="74"/>
  <c r="R12" i="74"/>
  <c r="R29" i="74"/>
  <c r="R83" i="74"/>
  <c r="R84" i="74" s="1"/>
  <c r="R86" i="74" s="1"/>
  <c r="R66" i="74"/>
  <c r="Q15" i="66"/>
  <c r="S40" i="74"/>
  <c r="Q14" i="74"/>
  <c r="Q68" i="74"/>
  <c r="Q93" i="74"/>
  <c r="Q75" i="66" s="1"/>
  <c r="Q11" i="75" s="1"/>
  <c r="M62" i="63"/>
  <c r="M43" i="63"/>
  <c r="O45" i="61"/>
  <c r="O47" i="61" s="1"/>
  <c r="S49" i="63"/>
  <c r="S51" i="63" s="1"/>
  <c r="AH17" i="78" l="1"/>
  <c r="R74" i="66"/>
  <c r="R21" i="66"/>
  <c r="R23" i="66" s="1"/>
  <c r="R9" i="75"/>
  <c r="M77" i="74"/>
  <c r="M79" i="74" s="1"/>
  <c r="M23" i="74"/>
  <c r="M25" i="74" s="1"/>
  <c r="N50" i="74"/>
  <c r="N52" i="74" s="1"/>
  <c r="N65" i="61"/>
  <c r="P23" i="66"/>
  <c r="S39" i="74"/>
  <c r="S41" i="74" s="1"/>
  <c r="S56" i="74"/>
  <c r="S57" i="74" s="1"/>
  <c r="S59" i="74" s="1"/>
  <c r="S91" i="74" s="1"/>
  <c r="S66" i="74"/>
  <c r="S83" i="74"/>
  <c r="S84" i="74" s="1"/>
  <c r="S86" i="74" s="1"/>
  <c r="S12" i="74"/>
  <c r="S29" i="74"/>
  <c r="S30" i="74" s="1"/>
  <c r="S32" i="74" s="1"/>
  <c r="S92" i="74" s="1"/>
  <c r="S13" i="74"/>
  <c r="S67" i="74"/>
  <c r="T77" i="74"/>
  <c r="T79" i="74" s="1"/>
  <c r="T57" i="66" s="1"/>
  <c r="T12" i="66"/>
  <c r="T23" i="74"/>
  <c r="T25" i="74" s="1"/>
  <c r="T38" i="66" s="1"/>
  <c r="T30" i="63"/>
  <c r="T32" i="63" s="1"/>
  <c r="T18" i="66"/>
  <c r="T50" i="74"/>
  <c r="T52" i="74" s="1"/>
  <c r="T39" i="66" s="1"/>
  <c r="T65" i="61"/>
  <c r="T14" i="66" s="1"/>
  <c r="V9" i="66"/>
  <c r="V11" i="66" s="1"/>
  <c r="W24" i="61"/>
  <c r="V45" i="61"/>
  <c r="V47" i="61" s="1"/>
  <c r="U11" i="66"/>
  <c r="AK12" i="78" s="1"/>
  <c r="U64" i="61"/>
  <c r="U41" i="63"/>
  <c r="U42" i="63" s="1"/>
  <c r="U43" i="63" s="1"/>
  <c r="U16" i="66" s="1"/>
  <c r="U60" i="63"/>
  <c r="U61" i="63" s="1"/>
  <c r="U62" i="63" s="1"/>
  <c r="U17" i="66" s="1"/>
  <c r="U22" i="63"/>
  <c r="U23" i="63" s="1"/>
  <c r="U24" i="63" s="1"/>
  <c r="R57" i="74"/>
  <c r="R59" i="74" s="1"/>
  <c r="R30" i="74"/>
  <c r="R32" i="74" s="1"/>
  <c r="R90" i="74"/>
  <c r="Q19" i="66"/>
  <c r="AG16" i="78" s="1"/>
  <c r="O41" i="63"/>
  <c r="O42" i="63" s="1"/>
  <c r="O22" i="63"/>
  <c r="O23" i="63" s="1"/>
  <c r="O24" i="63" s="1"/>
  <c r="O64" i="61"/>
  <c r="O60" i="63"/>
  <c r="O61" i="63" s="1"/>
  <c r="P93" i="74"/>
  <c r="R68" i="74"/>
  <c r="R14" i="74"/>
  <c r="N24" i="63"/>
  <c r="S15" i="66"/>
  <c r="S19" i="66" s="1"/>
  <c r="AI16" i="78" s="1"/>
  <c r="AH18" i="78" l="1"/>
  <c r="AG17" i="78"/>
  <c r="AG18" i="78"/>
  <c r="AI17" i="78"/>
  <c r="AI18" i="78"/>
  <c r="AK13" i="78"/>
  <c r="R41" i="72"/>
  <c r="R42" i="72" s="1"/>
  <c r="R22" i="72"/>
  <c r="R23" i="72" s="1"/>
  <c r="P41" i="72"/>
  <c r="P42" i="72" s="1"/>
  <c r="P22" i="72"/>
  <c r="P23" i="72" s="1"/>
  <c r="T83" i="74"/>
  <c r="T84" i="74" s="1"/>
  <c r="T86" i="74" s="1"/>
  <c r="T90" i="74" s="1"/>
  <c r="T66" i="74"/>
  <c r="T13" i="66"/>
  <c r="T67" i="74"/>
  <c r="T68" i="74" s="1"/>
  <c r="T13" i="74"/>
  <c r="T29" i="74"/>
  <c r="T12" i="74"/>
  <c r="T39" i="74"/>
  <c r="T41" i="74" s="1"/>
  <c r="T56" i="74"/>
  <c r="T53" i="61"/>
  <c r="T55" i="61" s="1"/>
  <c r="V40" i="74"/>
  <c r="H24" i="61"/>
  <c r="H45" i="61" s="1"/>
  <c r="W45" i="61"/>
  <c r="W47" i="61" s="1"/>
  <c r="H47" i="61" s="1"/>
  <c r="W9" i="66"/>
  <c r="V60" i="63"/>
  <c r="V61" i="63" s="1"/>
  <c r="V41" i="63"/>
  <c r="V42" i="63" s="1"/>
  <c r="V43" i="63" s="1"/>
  <c r="V16" i="66" s="1"/>
  <c r="V64" i="61"/>
  <c r="V22" i="63"/>
  <c r="V23" i="63" s="1"/>
  <c r="U40" i="74"/>
  <c r="U50" i="74"/>
  <c r="U52" i="74" s="1"/>
  <c r="U39" i="66" s="1"/>
  <c r="U65" i="61"/>
  <c r="U14" i="66" s="1"/>
  <c r="U53" i="61" s="1"/>
  <c r="U55" i="61" s="1"/>
  <c r="U30" i="63"/>
  <c r="U32" i="63" s="1"/>
  <c r="U18" i="66"/>
  <c r="U49" i="63"/>
  <c r="U51" i="63" s="1"/>
  <c r="U23" i="74"/>
  <c r="U25" i="74" s="1"/>
  <c r="U38" i="66" s="1"/>
  <c r="U12" i="66"/>
  <c r="U77" i="74"/>
  <c r="U79" i="74" s="1"/>
  <c r="U57" i="66" s="1"/>
  <c r="R91" i="74"/>
  <c r="R92" i="74"/>
  <c r="Q21" i="66"/>
  <c r="Q9" i="75"/>
  <c r="Q74" i="66"/>
  <c r="O43" i="63"/>
  <c r="O77" i="74"/>
  <c r="O79" i="74" s="1"/>
  <c r="O23" i="74"/>
  <c r="O25" i="74" s="1"/>
  <c r="O50" i="74"/>
  <c r="O52" i="74" s="1"/>
  <c r="O65" i="61"/>
  <c r="O62" i="63"/>
  <c r="P75" i="66"/>
  <c r="N77" i="74"/>
  <c r="N79" i="74" s="1"/>
  <c r="N23" i="74"/>
  <c r="N25" i="74" s="1"/>
  <c r="S21" i="66"/>
  <c r="S23" i="66" s="1"/>
  <c r="S9" i="75"/>
  <c r="S74" i="66"/>
  <c r="S14" i="74"/>
  <c r="S68" i="74"/>
  <c r="S90" i="74"/>
  <c r="S93" i="74" s="1"/>
  <c r="S75" i="66" s="1"/>
  <c r="S11" i="75" s="1"/>
  <c r="R52" i="72" l="1"/>
  <c r="R43" i="72"/>
  <c r="R76" i="66" s="1"/>
  <c r="R24" i="72"/>
  <c r="R24" i="66" s="1"/>
  <c r="R25" i="66" s="1"/>
  <c r="R51" i="72"/>
  <c r="P52" i="72"/>
  <c r="P43" i="72"/>
  <c r="P51" i="72"/>
  <c r="P24" i="72"/>
  <c r="T15" i="66"/>
  <c r="T30" i="74"/>
  <c r="T32" i="74" s="1"/>
  <c r="T57" i="74"/>
  <c r="T59" i="74" s="1"/>
  <c r="W41" i="63"/>
  <c r="W42" i="63" s="1"/>
  <c r="W60" i="63"/>
  <c r="W61" i="63" s="1"/>
  <c r="W64" i="61"/>
  <c r="W22" i="63"/>
  <c r="W23" i="63" s="1"/>
  <c r="H9" i="66"/>
  <c r="W11" i="66"/>
  <c r="H22" i="63"/>
  <c r="H41" i="63"/>
  <c r="H64" i="61"/>
  <c r="H50" i="74" s="1"/>
  <c r="H60" i="63"/>
  <c r="V30" i="63"/>
  <c r="V32" i="63" s="1"/>
  <c r="V50" i="74"/>
  <c r="V52" i="74" s="1"/>
  <c r="V39" i="66" s="1"/>
  <c r="V65" i="61"/>
  <c r="V24" i="63"/>
  <c r="U56" i="74"/>
  <c r="U57" i="74" s="1"/>
  <c r="U59" i="74" s="1"/>
  <c r="U91" i="74" s="1"/>
  <c r="U39" i="74"/>
  <c r="U41" i="74" s="1"/>
  <c r="U29" i="74"/>
  <c r="U30" i="74" s="1"/>
  <c r="U32" i="74" s="1"/>
  <c r="U92" i="74" s="1"/>
  <c r="U12" i="74"/>
  <c r="U13" i="74"/>
  <c r="U67" i="74"/>
  <c r="U66" i="74"/>
  <c r="U83" i="74"/>
  <c r="U84" i="74" s="1"/>
  <c r="U86" i="74" s="1"/>
  <c r="Q23" i="66"/>
  <c r="P11" i="75"/>
  <c r="S22" i="72"/>
  <c r="S23" i="72" s="1"/>
  <c r="S41" i="72"/>
  <c r="S42" i="72" s="1"/>
  <c r="T14" i="74"/>
  <c r="R93" i="74"/>
  <c r="V62" i="63"/>
  <c r="U13" i="66"/>
  <c r="R22" i="73" l="1"/>
  <c r="R23" i="73" s="1"/>
  <c r="AH21" i="78"/>
  <c r="U14" i="74"/>
  <c r="R12" i="73"/>
  <c r="R73" i="73"/>
  <c r="R10" i="75"/>
  <c r="R31" i="72"/>
  <c r="R32" i="72" s="1"/>
  <c r="W62" i="63"/>
  <c r="H61" i="63"/>
  <c r="P53" i="72"/>
  <c r="W24" i="63"/>
  <c r="H24" i="63" s="1"/>
  <c r="H23" i="63"/>
  <c r="P76" i="66"/>
  <c r="P24" i="66"/>
  <c r="T19" i="66"/>
  <c r="AJ16" i="78" s="1"/>
  <c r="T92" i="74"/>
  <c r="T91" i="74"/>
  <c r="H42" i="63"/>
  <c r="W43" i="63"/>
  <c r="W65" i="61"/>
  <c r="W50" i="74"/>
  <c r="W52" i="74" s="1"/>
  <c r="W39" i="66" s="1"/>
  <c r="H11" i="66"/>
  <c r="H40" i="74" s="1"/>
  <c r="W40" i="74"/>
  <c r="V39" i="74"/>
  <c r="V41" i="74" s="1"/>
  <c r="V56" i="74"/>
  <c r="V14" i="66"/>
  <c r="V77" i="74"/>
  <c r="V79" i="74" s="1"/>
  <c r="V57" i="66" s="1"/>
  <c r="V12" i="66"/>
  <c r="V23" i="74"/>
  <c r="V25" i="74" s="1"/>
  <c r="V38" i="66" s="1"/>
  <c r="U90" i="74"/>
  <c r="U93" i="74" s="1"/>
  <c r="U75" i="66" s="1"/>
  <c r="U11" i="75" s="1"/>
  <c r="Q41" i="72"/>
  <c r="Q42" i="72" s="1"/>
  <c r="Q22" i="72"/>
  <c r="Q23" i="72" s="1"/>
  <c r="S24" i="72"/>
  <c r="S24" i="66" s="1"/>
  <c r="S25" i="66" s="1"/>
  <c r="AI21" i="78" s="1"/>
  <c r="S51" i="72"/>
  <c r="S43" i="72"/>
  <c r="S76" i="66" s="1"/>
  <c r="S52" i="72"/>
  <c r="R75" i="66"/>
  <c r="V17" i="66"/>
  <c r="U68" i="74"/>
  <c r="U15" i="66"/>
  <c r="U19" i="66" s="1"/>
  <c r="AK16" i="78" s="1"/>
  <c r="R44" i="73" l="1"/>
  <c r="R40" i="73"/>
  <c r="R41" i="73" s="1"/>
  <c r="AH22" i="78"/>
  <c r="AJ17" i="78"/>
  <c r="AJ18" i="78"/>
  <c r="AI22" i="78"/>
  <c r="AI23" i="78"/>
  <c r="AK17" i="78"/>
  <c r="AK18" i="78"/>
  <c r="W17" i="66"/>
  <c r="H62" i="63"/>
  <c r="W12" i="66"/>
  <c r="W23" i="74"/>
  <c r="W25" i="74" s="1"/>
  <c r="W38" i="66" s="1"/>
  <c r="W77" i="74"/>
  <c r="W79" i="74" s="1"/>
  <c r="W57" i="66" s="1"/>
  <c r="P55" i="72"/>
  <c r="P53" i="66" s="1"/>
  <c r="P54" i="66" s="1"/>
  <c r="Q50" i="72"/>
  <c r="W14" i="66"/>
  <c r="H14" i="66" s="1"/>
  <c r="H53" i="61" s="1"/>
  <c r="H55" i="61" s="1"/>
  <c r="H65" i="61"/>
  <c r="V49" i="63"/>
  <c r="V51" i="63" s="1"/>
  <c r="V18" i="66"/>
  <c r="P77" i="66"/>
  <c r="P10" i="75"/>
  <c r="P13" i="75" s="1"/>
  <c r="AF25" i="78" s="1"/>
  <c r="AF26" i="78" s="1"/>
  <c r="P31" i="72"/>
  <c r="P32" i="72" s="1"/>
  <c r="P25" i="66"/>
  <c r="AF21" i="78" s="1"/>
  <c r="T74" i="66"/>
  <c r="T9" i="75"/>
  <c r="T21" i="66"/>
  <c r="H43" i="63"/>
  <c r="W16" i="66"/>
  <c r="W56" i="74"/>
  <c r="W57" i="74" s="1"/>
  <c r="W59" i="74" s="1"/>
  <c r="W91" i="74" s="1"/>
  <c r="W39" i="74"/>
  <c r="W41" i="74" s="1"/>
  <c r="F41" i="74" s="1"/>
  <c r="V57" i="74"/>
  <c r="V59" i="74" s="1"/>
  <c r="V53" i="61"/>
  <c r="V55" i="61" s="1"/>
  <c r="H77" i="74"/>
  <c r="H23" i="74"/>
  <c r="V83" i="74"/>
  <c r="V84" i="74" s="1"/>
  <c r="V86" i="74" s="1"/>
  <c r="V66" i="74"/>
  <c r="V13" i="66"/>
  <c r="V13" i="74"/>
  <c r="V67" i="74"/>
  <c r="V29" i="74"/>
  <c r="V12" i="74"/>
  <c r="Q43" i="72"/>
  <c r="Q52" i="72"/>
  <c r="Q24" i="72"/>
  <c r="Q51" i="72"/>
  <c r="S77" i="66"/>
  <c r="S31" i="72"/>
  <c r="S32" i="72" s="1"/>
  <c r="S10" i="75"/>
  <c r="S13" i="75" s="1"/>
  <c r="R11" i="75"/>
  <c r="R13" i="75" s="1"/>
  <c r="R77" i="66"/>
  <c r="U21" i="66"/>
  <c r="U23" i="66" s="1"/>
  <c r="U9" i="75"/>
  <c r="U74" i="66"/>
  <c r="T93" i="74"/>
  <c r="S22" i="73"/>
  <c r="S23" i="73" s="1"/>
  <c r="S12" i="73"/>
  <c r="S73" i="73"/>
  <c r="S19" i="75" l="1"/>
  <c r="S21" i="75" s="1"/>
  <c r="AI25" i="78"/>
  <c r="R19" i="75"/>
  <c r="R21" i="75" s="1"/>
  <c r="AH25" i="78"/>
  <c r="R27" i="66"/>
  <c r="R45" i="73"/>
  <c r="R46" i="73" s="1"/>
  <c r="AF22" i="78"/>
  <c r="AF23" i="78"/>
  <c r="W66" i="74"/>
  <c r="W83" i="74"/>
  <c r="W84" i="74" s="1"/>
  <c r="W86" i="74" s="1"/>
  <c r="H17" i="66"/>
  <c r="H49" i="63" s="1"/>
  <c r="H51" i="63" s="1"/>
  <c r="W49" i="63"/>
  <c r="W51" i="63" s="1"/>
  <c r="F51" i="63" s="1"/>
  <c r="V68" i="74"/>
  <c r="Q53" i="72"/>
  <c r="W13" i="66"/>
  <c r="W67" i="74"/>
  <c r="W13" i="74"/>
  <c r="H12" i="66"/>
  <c r="W29" i="74"/>
  <c r="W30" i="74" s="1"/>
  <c r="W32" i="74" s="1"/>
  <c r="W92" i="74" s="1"/>
  <c r="W12" i="74"/>
  <c r="W53" i="61"/>
  <c r="W55" i="61" s="1"/>
  <c r="F55" i="61" s="1"/>
  <c r="P19" i="75"/>
  <c r="P21" i="75" s="1"/>
  <c r="P22" i="73"/>
  <c r="P73" i="73"/>
  <c r="P12" i="73"/>
  <c r="T23" i="66"/>
  <c r="H16" i="66"/>
  <c r="H30" i="63" s="1"/>
  <c r="H32" i="63" s="1"/>
  <c r="W18" i="66"/>
  <c r="W30" i="63"/>
  <c r="W32" i="63" s="1"/>
  <c r="F32" i="63" s="1"/>
  <c r="H59" i="74"/>
  <c r="H91" i="74" s="1"/>
  <c r="V91" i="74"/>
  <c r="V90" i="74"/>
  <c r="V15" i="66"/>
  <c r="V30" i="74"/>
  <c r="V32" i="74" s="1"/>
  <c r="Q76" i="66"/>
  <c r="Q24" i="66"/>
  <c r="U41" i="72"/>
  <c r="U42" i="72" s="1"/>
  <c r="U22" i="72"/>
  <c r="U23" i="72" s="1"/>
  <c r="T75" i="66"/>
  <c r="S40" i="73"/>
  <c r="S41" i="73" s="1"/>
  <c r="S44" i="73"/>
  <c r="V14" i="74"/>
  <c r="R27" i="75" l="1"/>
  <c r="R33" i="75"/>
  <c r="R35" i="75" s="1"/>
  <c r="R63" i="75" s="1"/>
  <c r="S27" i="75"/>
  <c r="S33" i="75"/>
  <c r="S35" i="75" s="1"/>
  <c r="S63" i="75" s="1"/>
  <c r="AI26" i="78"/>
  <c r="R29" i="73"/>
  <c r="R49" i="73"/>
  <c r="R28" i="66"/>
  <c r="R48" i="66"/>
  <c r="W68" i="74"/>
  <c r="F68" i="74" s="1"/>
  <c r="H13" i="66"/>
  <c r="W15" i="66"/>
  <c r="W14" i="74"/>
  <c r="F14" i="74" s="1"/>
  <c r="R50" i="72"/>
  <c r="R53" i="72" s="1"/>
  <c r="Q55" i="72"/>
  <c r="Q53" i="66" s="1"/>
  <c r="Q54" i="66" s="1"/>
  <c r="H67" i="74"/>
  <c r="H13" i="74"/>
  <c r="W90" i="74"/>
  <c r="W93" i="74" s="1"/>
  <c r="W75" i="66" s="1"/>
  <c r="W11" i="75" s="1"/>
  <c r="H86" i="74"/>
  <c r="H90" i="74" s="1"/>
  <c r="P33" i="75"/>
  <c r="P35" i="75" s="1"/>
  <c r="P27" i="75"/>
  <c r="P23" i="73"/>
  <c r="T41" i="72"/>
  <c r="T42" i="72" s="1"/>
  <c r="T22" i="72"/>
  <c r="T23" i="72" s="1"/>
  <c r="H18" i="66"/>
  <c r="V19" i="66"/>
  <c r="H32" i="74"/>
  <c r="H92" i="74" s="1"/>
  <c r="V92" i="74"/>
  <c r="V93" i="74" s="1"/>
  <c r="Q77" i="66"/>
  <c r="Q10" i="75"/>
  <c r="Q13" i="75" s="1"/>
  <c r="AG25" i="78" s="1"/>
  <c r="Q31" i="72"/>
  <c r="Q32" i="72" s="1"/>
  <c r="Q25" i="66"/>
  <c r="AG21" i="78" s="1"/>
  <c r="U43" i="72"/>
  <c r="U76" i="66" s="1"/>
  <c r="U52" i="72"/>
  <c r="U24" i="72"/>
  <c r="U24" i="66" s="1"/>
  <c r="U25" i="66" s="1"/>
  <c r="AK21" i="78" s="1"/>
  <c r="U51" i="72"/>
  <c r="T11" i="75"/>
  <c r="S45" i="73"/>
  <c r="S46" i="73" s="1"/>
  <c r="S27" i="66"/>
  <c r="AH26" i="78" l="1"/>
  <c r="AG26" i="78"/>
  <c r="R50" i="73"/>
  <c r="R29" i="66"/>
  <c r="AH23" i="78"/>
  <c r="AG22" i="78"/>
  <c r="AG23" i="78"/>
  <c r="AK22" i="78"/>
  <c r="W19" i="66"/>
  <c r="H15" i="66"/>
  <c r="R55" i="72"/>
  <c r="R53" i="66" s="1"/>
  <c r="R54" i="66" s="1"/>
  <c r="S50" i="72"/>
  <c r="S53" i="72" s="1"/>
  <c r="U22" i="73"/>
  <c r="U23" i="73" s="1"/>
  <c r="U12" i="73"/>
  <c r="U73" i="73"/>
  <c r="S48" i="66"/>
  <c r="S28" i="66"/>
  <c r="P63" i="75"/>
  <c r="P44" i="73"/>
  <c r="P40" i="73"/>
  <c r="P41" i="73" s="1"/>
  <c r="T43" i="72"/>
  <c r="T52" i="72"/>
  <c r="T51" i="72"/>
  <c r="T24" i="72"/>
  <c r="V74" i="66"/>
  <c r="V9" i="75"/>
  <c r="V21" i="66"/>
  <c r="H93" i="74"/>
  <c r="V75" i="66"/>
  <c r="Q19" i="75"/>
  <c r="Q21" i="75" s="1"/>
  <c r="Q12" i="73"/>
  <c r="Q22" i="73"/>
  <c r="Q73" i="73"/>
  <c r="U77" i="66"/>
  <c r="U31" i="72"/>
  <c r="U32" i="72" s="1"/>
  <c r="U10" i="75"/>
  <c r="U13" i="75" s="1"/>
  <c r="S49" i="73"/>
  <c r="S29" i="73"/>
  <c r="U19" i="75" l="1"/>
  <c r="U21" i="75" s="1"/>
  <c r="AK25" i="78"/>
  <c r="S52" i="73"/>
  <c r="S53" i="73" s="1"/>
  <c r="S85" i="66" s="1"/>
  <c r="S88" i="66" s="1"/>
  <c r="S90" i="66" s="1"/>
  <c r="S94" i="66" s="1"/>
  <c r="R74" i="73"/>
  <c r="R11" i="73"/>
  <c r="R13" i="73" s="1"/>
  <c r="R30" i="73"/>
  <c r="R31" i="73" s="1"/>
  <c r="W21" i="66"/>
  <c r="H19" i="66"/>
  <c r="W9" i="75"/>
  <c r="W74" i="66"/>
  <c r="S55" i="72"/>
  <c r="S53" i="66" s="1"/>
  <c r="S54" i="66" s="1"/>
  <c r="T50" i="72"/>
  <c r="T53" i="72" s="1"/>
  <c r="U44" i="73"/>
  <c r="U40" i="73"/>
  <c r="U41" i="73" s="1"/>
  <c r="S50" i="73"/>
  <c r="S29" i="66"/>
  <c r="P27" i="66"/>
  <c r="P45" i="73"/>
  <c r="P46" i="73" s="1"/>
  <c r="T76" i="66"/>
  <c r="T24" i="66"/>
  <c r="V23" i="66"/>
  <c r="H75" i="66"/>
  <c r="H11" i="75" s="1"/>
  <c r="V11" i="75"/>
  <c r="Q33" i="75"/>
  <c r="Q35" i="75" s="1"/>
  <c r="Q27" i="75"/>
  <c r="Q23" i="73"/>
  <c r="U27" i="75" l="1"/>
  <c r="U29" i="75" s="1"/>
  <c r="U33" i="75"/>
  <c r="W23" i="66"/>
  <c r="H23" i="66" s="1"/>
  <c r="H21" i="66"/>
  <c r="H9" i="75"/>
  <c r="H74" i="66"/>
  <c r="U27" i="66"/>
  <c r="U45" i="73"/>
  <c r="U46" i="73" s="1"/>
  <c r="S11" i="73"/>
  <c r="S13" i="73" s="1"/>
  <c r="S74" i="73"/>
  <c r="S30" i="73"/>
  <c r="S31" i="73" s="1"/>
  <c r="U50" i="72"/>
  <c r="U53" i="72" s="1"/>
  <c r="T55" i="72"/>
  <c r="T53" i="66" s="1"/>
  <c r="T54" i="66" s="1"/>
  <c r="P49" i="73"/>
  <c r="P52" i="73" s="1"/>
  <c r="P29" i="73"/>
  <c r="P28" i="66"/>
  <c r="P29" i="66" s="1"/>
  <c r="P48" i="66"/>
  <c r="T77" i="66"/>
  <c r="T31" i="72"/>
  <c r="T32" i="72" s="1"/>
  <c r="T10" i="75"/>
  <c r="T13" i="75" s="1"/>
  <c r="AJ25" i="78" s="1"/>
  <c r="T25" i="66"/>
  <c r="AJ21" i="78" s="1"/>
  <c r="V41" i="72"/>
  <c r="V42" i="72" s="1"/>
  <c r="V22" i="72"/>
  <c r="V23" i="72" s="1"/>
  <c r="Q63" i="75"/>
  <c r="Q40" i="73"/>
  <c r="Q41" i="73" s="1"/>
  <c r="Q44" i="73"/>
  <c r="H29" i="75" l="1"/>
  <c r="U34" i="75"/>
  <c r="AK26" i="78"/>
  <c r="AJ26" i="78"/>
  <c r="AK23" i="78"/>
  <c r="AJ22" i="78"/>
  <c r="AJ23" i="78"/>
  <c r="W22" i="72"/>
  <c r="W23" i="72" s="1"/>
  <c r="H23" i="72" s="1"/>
  <c r="H51" i="72" s="1"/>
  <c r="W41" i="72"/>
  <c r="W42" i="72" s="1"/>
  <c r="H42" i="72" s="1"/>
  <c r="H52" i="72" s="1"/>
  <c r="U28" i="66"/>
  <c r="U48" i="66"/>
  <c r="U29" i="73"/>
  <c r="U49" i="73"/>
  <c r="V50" i="72"/>
  <c r="U55" i="72"/>
  <c r="U53" i="66" s="1"/>
  <c r="U54" i="66" s="1"/>
  <c r="P11" i="73"/>
  <c r="P30" i="73"/>
  <c r="P74" i="73"/>
  <c r="P75" i="73" s="1"/>
  <c r="P53" i="73"/>
  <c r="P50" i="73"/>
  <c r="T19" i="75"/>
  <c r="T21" i="75" s="1"/>
  <c r="T12" i="73"/>
  <c r="T22" i="73"/>
  <c r="T73" i="73"/>
  <c r="H22" i="72"/>
  <c r="H41" i="72"/>
  <c r="V52" i="72"/>
  <c r="V43" i="72"/>
  <c r="V51" i="72"/>
  <c r="V24" i="72"/>
  <c r="Q45" i="73"/>
  <c r="Q46" i="73" s="1"/>
  <c r="Q27" i="66"/>
  <c r="U35" i="75" l="1"/>
  <c r="U63" i="75" s="1"/>
  <c r="H34" i="75"/>
  <c r="W51" i="72"/>
  <c r="W24" i="72"/>
  <c r="W52" i="72"/>
  <c r="W43" i="72"/>
  <c r="Q48" i="66"/>
  <c r="Q28" i="66"/>
  <c r="U50" i="73"/>
  <c r="U29" i="66"/>
  <c r="V53" i="72"/>
  <c r="P13" i="73"/>
  <c r="P31" i="73"/>
  <c r="P77" i="73"/>
  <c r="Q72" i="73"/>
  <c r="P85" i="66"/>
  <c r="H21" i="75"/>
  <c r="T33" i="75"/>
  <c r="T35" i="75" s="1"/>
  <c r="T27" i="75"/>
  <c r="T23" i="73"/>
  <c r="V76" i="66"/>
  <c r="V24" i="66"/>
  <c r="Q49" i="73"/>
  <c r="Q52" i="73" s="1"/>
  <c r="Q29" i="73"/>
  <c r="W24" i="66" l="1"/>
  <c r="H24" i="72"/>
  <c r="W76" i="66"/>
  <c r="H43" i="72"/>
  <c r="Q50" i="73"/>
  <c r="R52" i="73" s="1"/>
  <c r="R53" i="73" s="1"/>
  <c r="R85" i="66" s="1"/>
  <c r="R88" i="66" s="1"/>
  <c r="R90" i="66" s="1"/>
  <c r="R94" i="66" s="1"/>
  <c r="Q29" i="66"/>
  <c r="Q30" i="73" s="1"/>
  <c r="U30" i="73"/>
  <c r="U31" i="73" s="1"/>
  <c r="U11" i="73"/>
  <c r="U13" i="73" s="1"/>
  <c r="U74" i="73"/>
  <c r="V55" i="72"/>
  <c r="W50" i="72"/>
  <c r="W53" i="72" s="1"/>
  <c r="P47" i="66"/>
  <c r="P49" i="66" s="1"/>
  <c r="P88" i="66"/>
  <c r="H27" i="75"/>
  <c r="H33" i="75"/>
  <c r="T63" i="75"/>
  <c r="T44" i="73"/>
  <c r="T40" i="73"/>
  <c r="T41" i="73" s="1"/>
  <c r="V77" i="66"/>
  <c r="V31" i="72"/>
  <c r="V32" i="72" s="1"/>
  <c r="V10" i="75"/>
  <c r="V13" i="75" s="1"/>
  <c r="V25" i="66"/>
  <c r="Q53" i="73"/>
  <c r="Q74" i="73" l="1"/>
  <c r="Q75" i="73" s="1"/>
  <c r="Q11" i="73"/>
  <c r="Q13" i="73" s="1"/>
  <c r="W25" i="66"/>
  <c r="H24" i="66"/>
  <c r="W31" i="72"/>
  <c r="W32" i="72" s="1"/>
  <c r="F32" i="72" s="1"/>
  <c r="W77" i="66"/>
  <c r="H77" i="66" s="1"/>
  <c r="W10" i="75"/>
  <c r="W13" i="75" s="1"/>
  <c r="H76" i="66"/>
  <c r="W55" i="72"/>
  <c r="X50" i="72"/>
  <c r="X53" i="72" s="1"/>
  <c r="Y50" i="72" s="1"/>
  <c r="Y53" i="72" s="1"/>
  <c r="Z50" i="72" s="1"/>
  <c r="Z53" i="72" s="1"/>
  <c r="AA50" i="72" s="1"/>
  <c r="AA53" i="72" s="1"/>
  <c r="AB50" i="72" s="1"/>
  <c r="AB53" i="72" s="1"/>
  <c r="AC50" i="72" s="1"/>
  <c r="AC53" i="72" s="1"/>
  <c r="AD50" i="72" s="1"/>
  <c r="AD53" i="72" s="1"/>
  <c r="AE50" i="72" s="1"/>
  <c r="AE53" i="72" s="1"/>
  <c r="AF50" i="72" s="1"/>
  <c r="AF53" i="72" s="1"/>
  <c r="AG50" i="72" s="1"/>
  <c r="AG53" i="72" s="1"/>
  <c r="AH50" i="72" s="1"/>
  <c r="AH53" i="72" s="1"/>
  <c r="AI50" i="72" s="1"/>
  <c r="AI53" i="72" s="1"/>
  <c r="AJ50" i="72" s="1"/>
  <c r="AJ53" i="72" s="1"/>
  <c r="AK50" i="72" s="1"/>
  <c r="AK53" i="72" s="1"/>
  <c r="AL50" i="72" s="1"/>
  <c r="AL53" i="72" s="1"/>
  <c r="AM50" i="72" s="1"/>
  <c r="AM53" i="72" s="1"/>
  <c r="AN50" i="72" s="1"/>
  <c r="AN53" i="72" s="1"/>
  <c r="AO50" i="72" s="1"/>
  <c r="AO53" i="72" s="1"/>
  <c r="AP50" i="72" s="1"/>
  <c r="AP53" i="72" s="1"/>
  <c r="AQ50" i="72" s="1"/>
  <c r="AQ53" i="72" s="1"/>
  <c r="AR50" i="72" s="1"/>
  <c r="AR53" i="72" s="1"/>
  <c r="AS50" i="72" s="1"/>
  <c r="AS53" i="72" s="1"/>
  <c r="AT50" i="72" s="1"/>
  <c r="AT53" i="72" s="1"/>
  <c r="AU50" i="72" s="1"/>
  <c r="AU53" i="72" s="1"/>
  <c r="AV50" i="72" s="1"/>
  <c r="AV53" i="72" s="1"/>
  <c r="AW50" i="72" s="1"/>
  <c r="AW53" i="72" s="1"/>
  <c r="AX50" i="72" s="1"/>
  <c r="AX53" i="72" s="1"/>
  <c r="AY50" i="72" s="1"/>
  <c r="AY53" i="72" s="1"/>
  <c r="AZ50" i="72" s="1"/>
  <c r="AZ53" i="72" s="1"/>
  <c r="BA50" i="72" s="1"/>
  <c r="BA53" i="72" s="1"/>
  <c r="BB50" i="72" s="1"/>
  <c r="BB53" i="72" s="1"/>
  <c r="BC50" i="72" s="1"/>
  <c r="BC53" i="72" s="1"/>
  <c r="BD50" i="72" s="1"/>
  <c r="BD53" i="72" s="1"/>
  <c r="BE50" i="72" s="1"/>
  <c r="BE53" i="72" s="1"/>
  <c r="BF50" i="72" s="1"/>
  <c r="BF53" i="72" s="1"/>
  <c r="BG50" i="72" s="1"/>
  <c r="BG53" i="72" s="1"/>
  <c r="BH50" i="72" s="1"/>
  <c r="BH53" i="72" s="1"/>
  <c r="BI50" i="72" s="1"/>
  <c r="BI53" i="72" s="1"/>
  <c r="BJ50" i="72" s="1"/>
  <c r="BJ53" i="72" s="1"/>
  <c r="BK50" i="72" s="1"/>
  <c r="BK53" i="72" s="1"/>
  <c r="BL50" i="72" s="1"/>
  <c r="BL53" i="72" s="1"/>
  <c r="BM50" i="72" s="1"/>
  <c r="BM53" i="72" s="1"/>
  <c r="BN50" i="72" s="1"/>
  <c r="BN53" i="72" s="1"/>
  <c r="BO50" i="72" s="1"/>
  <c r="BO53" i="72" s="1"/>
  <c r="BP50" i="72" s="1"/>
  <c r="BP53" i="72" s="1"/>
  <c r="BQ50" i="72" s="1"/>
  <c r="BQ53" i="72" s="1"/>
  <c r="BR50" i="72" s="1"/>
  <c r="BR53" i="72" s="1"/>
  <c r="BS50" i="72" s="1"/>
  <c r="BS53" i="72" s="1"/>
  <c r="BT50" i="72" s="1"/>
  <c r="BT53" i="72" s="1"/>
  <c r="BU50" i="72" s="1"/>
  <c r="BU53" i="72" s="1"/>
  <c r="BV50" i="72" s="1"/>
  <c r="BV53" i="72" s="1"/>
  <c r="BW50" i="72" s="1"/>
  <c r="BW53" i="72" s="1"/>
  <c r="BX50" i="72" s="1"/>
  <c r="BX53" i="72" s="1"/>
  <c r="BY50" i="72" s="1"/>
  <c r="BY53" i="72" s="1"/>
  <c r="V53" i="66"/>
  <c r="V54" i="66" s="1"/>
  <c r="P90" i="66"/>
  <c r="T45" i="73"/>
  <c r="T46" i="73" s="1"/>
  <c r="T27" i="66"/>
  <c r="V19" i="75"/>
  <c r="V21" i="75" s="1"/>
  <c r="V73" i="73"/>
  <c r="V12" i="73"/>
  <c r="V22" i="73"/>
  <c r="Q85" i="66"/>
  <c r="Q31" i="73"/>
  <c r="W73" i="73" l="1"/>
  <c r="W22" i="73"/>
  <c r="H25" i="66"/>
  <c r="H73" i="73" s="1"/>
  <c r="W12" i="73"/>
  <c r="H12" i="73" s="1"/>
  <c r="Q77" i="73"/>
  <c r="Q47" i="66" s="1"/>
  <c r="Q49" i="66" s="1"/>
  <c r="R72" i="73"/>
  <c r="R75" i="73" s="1"/>
  <c r="W19" i="75"/>
  <c r="W21" i="75" s="1"/>
  <c r="H13" i="75"/>
  <c r="H19" i="75" s="1"/>
  <c r="H31" i="72"/>
  <c r="H10" i="75"/>
  <c r="W53" i="66"/>
  <c r="W54" i="66" s="1"/>
  <c r="H55" i="72"/>
  <c r="P94" i="66"/>
  <c r="T28" i="66"/>
  <c r="T29" i="66" s="1"/>
  <c r="T48" i="66"/>
  <c r="T29" i="73"/>
  <c r="T49" i="73"/>
  <c r="T52" i="73" s="1"/>
  <c r="V27" i="75"/>
  <c r="V33" i="75"/>
  <c r="V35" i="75" s="1"/>
  <c r="V23" i="73"/>
  <c r="Q88" i="66"/>
  <c r="W23" i="73" l="1"/>
  <c r="H23" i="73" s="1"/>
  <c r="H22" i="73"/>
  <c r="S72" i="73"/>
  <c r="S75" i="73" s="1"/>
  <c r="R77" i="73"/>
  <c r="R47" i="66" s="1"/>
  <c r="R49" i="66" s="1"/>
  <c r="W27" i="75"/>
  <c r="W33" i="75"/>
  <c r="W35" i="75" s="1"/>
  <c r="P95" i="66"/>
  <c r="T50" i="73"/>
  <c r="U52" i="73" s="1"/>
  <c r="T53" i="73"/>
  <c r="T30" i="73"/>
  <c r="T11" i="73"/>
  <c r="T74" i="73"/>
  <c r="V63" i="75"/>
  <c r="V44" i="73"/>
  <c r="V40" i="73"/>
  <c r="V41" i="73" s="1"/>
  <c r="Q90" i="66"/>
  <c r="W44" i="73" l="1"/>
  <c r="W40" i="73"/>
  <c r="W41" i="73" s="1"/>
  <c r="H41" i="73" s="1"/>
  <c r="H45" i="73" s="1"/>
  <c r="S77" i="73"/>
  <c r="S47" i="66" s="1"/>
  <c r="S49" i="66" s="1"/>
  <c r="T72" i="73"/>
  <c r="T75" i="73" s="1"/>
  <c r="W63" i="75"/>
  <c r="H35" i="75"/>
  <c r="P97" i="66"/>
  <c r="T85" i="66"/>
  <c r="T31" i="73"/>
  <c r="T13" i="73"/>
  <c r="H44" i="73"/>
  <c r="H40" i="73"/>
  <c r="V27" i="66"/>
  <c r="V45" i="73"/>
  <c r="V46" i="73" s="1"/>
  <c r="Q94" i="66"/>
  <c r="U53" i="73"/>
  <c r="U85" i="66" s="1"/>
  <c r="U88" i="66" s="1"/>
  <c r="U90" i="66" s="1"/>
  <c r="U94" i="66" s="1"/>
  <c r="W45" i="73" l="1"/>
  <c r="W46" i="73" s="1"/>
  <c r="H46" i="73" s="1"/>
  <c r="W27" i="66"/>
  <c r="H27" i="66" s="1"/>
  <c r="H63" i="75"/>
  <c r="H64" i="75"/>
  <c r="F68" i="75" s="1"/>
  <c r="F72" i="75" s="1"/>
  <c r="F74" i="75" s="1"/>
  <c r="Y29" i="78" s="1"/>
  <c r="U72" i="73"/>
  <c r="U75" i="73" s="1"/>
  <c r="T77" i="73"/>
  <c r="T47" i="66" s="1"/>
  <c r="T49" i="66" s="1"/>
  <c r="P58" i="66"/>
  <c r="P59" i="66" s="1"/>
  <c r="P61" i="66" s="1"/>
  <c r="P63" i="66" s="1"/>
  <c r="P40" i="66"/>
  <c r="P41" i="66" s="1"/>
  <c r="P43" i="66" s="1"/>
  <c r="Q93" i="66"/>
  <c r="Q95" i="66" s="1"/>
  <c r="T88" i="66"/>
  <c r="V29" i="73"/>
  <c r="V49" i="73"/>
  <c r="V52" i="73" s="1"/>
  <c r="V48" i="66"/>
  <c r="V28" i="66"/>
  <c r="V29" i="66" s="1"/>
  <c r="W28" i="66" l="1"/>
  <c r="H28" i="66" s="1"/>
  <c r="H50" i="73" s="1"/>
  <c r="W48" i="66"/>
  <c r="W29" i="73"/>
  <c r="W49" i="73"/>
  <c r="H8" i="70"/>
  <c r="F25" i="76"/>
  <c r="K3" i="76"/>
  <c r="P68" i="66"/>
  <c r="P69" i="66" s="1"/>
  <c r="V72" i="73"/>
  <c r="U77" i="73"/>
  <c r="U47" i="66" s="1"/>
  <c r="U49" i="66" s="1"/>
  <c r="Q97" i="66"/>
  <c r="T90" i="66"/>
  <c r="H29" i="73"/>
  <c r="H49" i="73"/>
  <c r="V11" i="73"/>
  <c r="V30" i="73"/>
  <c r="V74" i="73"/>
  <c r="V53" i="73"/>
  <c r="V50" i="73"/>
  <c r="W29" i="66" l="1"/>
  <c r="W50" i="73"/>
  <c r="W52" i="73"/>
  <c r="V75" i="73"/>
  <c r="Q58" i="66"/>
  <c r="Q59" i="66" s="1"/>
  <c r="Q61" i="66" s="1"/>
  <c r="Q63" i="66" s="1"/>
  <c r="R93" i="66"/>
  <c r="R95" i="66" s="1"/>
  <c r="Q40" i="66"/>
  <c r="Q41" i="66" s="1"/>
  <c r="Q43" i="66" s="1"/>
  <c r="T94" i="66"/>
  <c r="V13" i="73"/>
  <c r="V31" i="73"/>
  <c r="V85" i="66"/>
  <c r="W53" i="73" l="1"/>
  <c r="H52" i="73"/>
  <c r="W30" i="73"/>
  <c r="H29" i="66"/>
  <c r="H74" i="73" s="1"/>
  <c r="W11" i="73"/>
  <c r="W74" i="73"/>
  <c r="V77" i="73"/>
  <c r="W72" i="73"/>
  <c r="Q68" i="66"/>
  <c r="Q69" i="66" s="1"/>
  <c r="R97" i="66"/>
  <c r="V88" i="66"/>
  <c r="W85" i="66" l="1"/>
  <c r="H53" i="73"/>
  <c r="W75" i="73"/>
  <c r="H30" i="73"/>
  <c r="H31" i="73" s="1"/>
  <c r="W31" i="73"/>
  <c r="F31" i="73" s="1"/>
  <c r="H11" i="73"/>
  <c r="H13" i="73" s="1"/>
  <c r="W13" i="73"/>
  <c r="F13" i="73" s="1"/>
  <c r="V47" i="66"/>
  <c r="V49" i="66" s="1"/>
  <c r="S93" i="66"/>
  <c r="S95" i="66" s="1"/>
  <c r="R40" i="66"/>
  <c r="R41" i="66" s="1"/>
  <c r="R43" i="66" s="1"/>
  <c r="R58" i="66"/>
  <c r="R59" i="66" s="1"/>
  <c r="R61" i="66" s="1"/>
  <c r="R63" i="66" s="1"/>
  <c r="V90" i="66"/>
  <c r="W88" i="66" l="1"/>
  <c r="H85" i="66"/>
  <c r="W77" i="73"/>
  <c r="X72" i="73"/>
  <c r="X75" i="73" s="1"/>
  <c r="Y72" i="73" s="1"/>
  <c r="Y75" i="73" s="1"/>
  <c r="Z72" i="73" s="1"/>
  <c r="Z75" i="73" s="1"/>
  <c r="AA72" i="73" s="1"/>
  <c r="AA75" i="73" s="1"/>
  <c r="AB72" i="73" s="1"/>
  <c r="AB75" i="73" s="1"/>
  <c r="AC72" i="73" s="1"/>
  <c r="AC75" i="73" s="1"/>
  <c r="AD72" i="73" s="1"/>
  <c r="AD75" i="73" s="1"/>
  <c r="AE72" i="73" s="1"/>
  <c r="AE75" i="73" s="1"/>
  <c r="AF72" i="73" s="1"/>
  <c r="AF75" i="73" s="1"/>
  <c r="AG72" i="73" s="1"/>
  <c r="AG75" i="73" s="1"/>
  <c r="AH72" i="73" s="1"/>
  <c r="AH75" i="73" s="1"/>
  <c r="AI72" i="73" s="1"/>
  <c r="AI75" i="73" s="1"/>
  <c r="AJ72" i="73" s="1"/>
  <c r="AJ75" i="73" s="1"/>
  <c r="AK72" i="73" s="1"/>
  <c r="AK75" i="73" s="1"/>
  <c r="AL72" i="73" s="1"/>
  <c r="AL75" i="73" s="1"/>
  <c r="AM72" i="73" s="1"/>
  <c r="AM75" i="73" s="1"/>
  <c r="AN72" i="73" s="1"/>
  <c r="AN75" i="73" s="1"/>
  <c r="AO72" i="73" s="1"/>
  <c r="AO75" i="73" s="1"/>
  <c r="AP72" i="73" s="1"/>
  <c r="AP75" i="73" s="1"/>
  <c r="AQ72" i="73" s="1"/>
  <c r="AQ75" i="73" s="1"/>
  <c r="AR72" i="73" s="1"/>
  <c r="AR75" i="73" s="1"/>
  <c r="AS72" i="73" s="1"/>
  <c r="AS75" i="73" s="1"/>
  <c r="AT72" i="73" s="1"/>
  <c r="AT75" i="73" s="1"/>
  <c r="AU72" i="73" s="1"/>
  <c r="AU75" i="73" s="1"/>
  <c r="AV72" i="73" s="1"/>
  <c r="AV75" i="73" s="1"/>
  <c r="AW72" i="73" s="1"/>
  <c r="AW75" i="73" s="1"/>
  <c r="AX72" i="73" s="1"/>
  <c r="AX75" i="73" s="1"/>
  <c r="AY72" i="73" s="1"/>
  <c r="AY75" i="73" s="1"/>
  <c r="AZ72" i="73" s="1"/>
  <c r="AZ75" i="73" s="1"/>
  <c r="BA72" i="73" s="1"/>
  <c r="BA75" i="73" s="1"/>
  <c r="BB72" i="73" s="1"/>
  <c r="BB75" i="73" s="1"/>
  <c r="BC72" i="73" s="1"/>
  <c r="BC75" i="73" s="1"/>
  <c r="BD72" i="73" s="1"/>
  <c r="BD75" i="73" s="1"/>
  <c r="BE72" i="73" s="1"/>
  <c r="BE75" i="73" s="1"/>
  <c r="BF72" i="73" s="1"/>
  <c r="BF75" i="73" s="1"/>
  <c r="BG72" i="73" s="1"/>
  <c r="BG75" i="73" s="1"/>
  <c r="BH72" i="73" s="1"/>
  <c r="BH75" i="73" s="1"/>
  <c r="BI72" i="73" s="1"/>
  <c r="BI75" i="73" s="1"/>
  <c r="BJ72" i="73" s="1"/>
  <c r="BJ75" i="73" s="1"/>
  <c r="BK72" i="73" s="1"/>
  <c r="BK75" i="73" s="1"/>
  <c r="BL72" i="73" s="1"/>
  <c r="BL75" i="73" s="1"/>
  <c r="BM72" i="73" s="1"/>
  <c r="BM75" i="73" s="1"/>
  <c r="BN72" i="73" s="1"/>
  <c r="BN75" i="73" s="1"/>
  <c r="BO72" i="73" s="1"/>
  <c r="BO75" i="73" s="1"/>
  <c r="BP72" i="73" s="1"/>
  <c r="BP75" i="73" s="1"/>
  <c r="BQ72" i="73" s="1"/>
  <c r="BQ75" i="73" s="1"/>
  <c r="BR72" i="73" s="1"/>
  <c r="BR75" i="73" s="1"/>
  <c r="BS72" i="73" s="1"/>
  <c r="BS75" i="73" s="1"/>
  <c r="BT72" i="73" s="1"/>
  <c r="BT75" i="73" s="1"/>
  <c r="BU72" i="73" s="1"/>
  <c r="BU75" i="73" s="1"/>
  <c r="BV72" i="73" s="1"/>
  <c r="BV75" i="73" s="1"/>
  <c r="BW72" i="73" s="1"/>
  <c r="BW75" i="73" s="1"/>
  <c r="BX72" i="73" s="1"/>
  <c r="BX75" i="73" s="1"/>
  <c r="BY72" i="73" s="1"/>
  <c r="BY75" i="73" s="1"/>
  <c r="R68" i="66"/>
  <c r="R69" i="66" s="1"/>
  <c r="S97" i="66"/>
  <c r="V94" i="66"/>
  <c r="W90" i="66" l="1"/>
  <c r="H88" i="66"/>
  <c r="W47" i="66"/>
  <c r="W49" i="66" s="1"/>
  <c r="H77" i="73"/>
  <c r="S58" i="66"/>
  <c r="S59" i="66" s="1"/>
  <c r="S61" i="66" s="1"/>
  <c r="S63" i="66" s="1"/>
  <c r="S40" i="66"/>
  <c r="S41" i="66" s="1"/>
  <c r="S43" i="66" s="1"/>
  <c r="T93" i="66"/>
  <c r="T95" i="66" s="1"/>
  <c r="H90" i="66" l="1"/>
  <c r="W94" i="66"/>
  <c r="H94" i="66" s="1"/>
  <c r="S68" i="66"/>
  <c r="S69" i="66" s="1"/>
  <c r="T97" i="66"/>
  <c r="T40" i="66" l="1"/>
  <c r="T41" i="66" s="1"/>
  <c r="T43" i="66" s="1"/>
  <c r="T58" i="66"/>
  <c r="T59" i="66" s="1"/>
  <c r="T61" i="66" s="1"/>
  <c r="T63" i="66" s="1"/>
  <c r="U93" i="66"/>
  <c r="U95" i="66" s="1"/>
  <c r="T68" i="66" l="1"/>
  <c r="T69" i="66" s="1"/>
  <c r="U97" i="66"/>
  <c r="U40" i="66" l="1"/>
  <c r="U41" i="66" s="1"/>
  <c r="U43" i="66" s="1"/>
  <c r="U58" i="66"/>
  <c r="U59" i="66" s="1"/>
  <c r="U61" i="66" s="1"/>
  <c r="U63" i="66" s="1"/>
  <c r="V93" i="66"/>
  <c r="V95" i="66" s="1"/>
  <c r="V97" i="66" l="1"/>
  <c r="U68" i="66"/>
  <c r="U69" i="66" s="1"/>
  <c r="F69" i="66" s="1"/>
  <c r="V40" i="66" l="1"/>
  <c r="V41" i="66" s="1"/>
  <c r="V43" i="66" s="1"/>
  <c r="V58" i="66"/>
  <c r="V59" i="66" s="1"/>
  <c r="V61" i="66" s="1"/>
  <c r="V63" i="66" s="1"/>
  <c r="W93" i="66"/>
  <c r="W95" i="66" s="1"/>
  <c r="F2" i="75"/>
  <c r="F2" i="74"/>
  <c r="F2" i="72"/>
  <c r="F2" i="28"/>
  <c r="F2" i="63"/>
  <c r="F2" i="44"/>
  <c r="F2" i="71"/>
  <c r="F2" i="73"/>
  <c r="F2" i="69"/>
  <c r="F2" i="66"/>
  <c r="F2" i="61"/>
  <c r="F2" i="70"/>
  <c r="H95" i="66" l="1"/>
  <c r="W97" i="66"/>
  <c r="W58" i="66" l="1"/>
  <c r="W59" i="66" s="1"/>
  <c r="W61" i="66" s="1"/>
  <c r="W63" i="66" s="1"/>
  <c r="W40" i="66"/>
  <c r="W41" i="66" s="1"/>
  <c r="W43" i="6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author>
    <author>tc={20FFD1E0-56EE-4450-A97D-0D700ECE991A}</author>
    <author>tc={EDFA2BDD-DAFB-4371-B5F8-4FB51A8F6748}</author>
  </authors>
  <commentList>
    <comment ref="E9" authorId="0" shapeId="0" xr:uid="{00000000-0006-0000-0300-000001000000}">
      <text>
        <r>
          <rPr>
            <b/>
            <sz val="9"/>
            <color indexed="81"/>
            <rFont val="Tahoma"/>
            <family val="2"/>
          </rPr>
          <t>Steve:</t>
        </r>
        <r>
          <rPr>
            <sz val="9"/>
            <color indexed="81"/>
            <rFont val="Tahoma"/>
            <family val="2"/>
          </rPr>
          <t xml:space="preserve">
Begginin of first year of model</t>
        </r>
      </text>
    </comment>
    <comment ref="E13" authorId="0" shapeId="0" xr:uid="{00000000-0006-0000-0300-000002000000}">
      <text>
        <r>
          <rPr>
            <b/>
            <sz val="9"/>
            <color indexed="81"/>
            <rFont val="Tahoma"/>
            <family val="2"/>
          </rPr>
          <t>Steve:</t>
        </r>
        <r>
          <rPr>
            <sz val="9"/>
            <color indexed="81"/>
            <rFont val="Tahoma"/>
            <family val="2"/>
          </rPr>
          <t xml:space="preserve">
End of first balance sheet date</t>
        </r>
      </text>
    </comment>
    <comment ref="E14" authorId="0" shapeId="0" xr:uid="{00000000-0006-0000-0300-000003000000}">
      <text>
        <r>
          <rPr>
            <b/>
            <sz val="9"/>
            <color indexed="81"/>
            <rFont val="Tahoma"/>
            <family val="2"/>
          </rPr>
          <t>Steve:</t>
        </r>
        <r>
          <rPr>
            <sz val="9"/>
            <color indexed="81"/>
            <rFont val="Tahoma"/>
            <family val="2"/>
          </rPr>
          <t xml:space="preserve">
End of first forecast period</t>
        </r>
      </text>
    </comment>
    <comment ref="E44" authorId="1" shapeId="0" xr:uid="{00000000-0006-0000-0300-000004000000}">
      <text>
        <t>[Threaded comment]
Your version of Excel allows you to read this threaded comment; however, any edits to it will get removed if the file is opened in a newer version of Excel. Learn more: https://go.microsoft.com/fwlink/?linkid=870924
Comment:
    Confirm MAT term loan</t>
      </text>
    </comment>
    <comment ref="E45" authorId="2" shapeId="0" xr:uid="{00000000-0006-0000-0300-000005000000}">
      <text>
        <t>[Threaded comment]
Your version of Excel allows you to read this threaded comment; however, any edits to it will get removed if the file is opened in a newer version of Excel. Learn more: https://go.microsoft.com/fwlink/?linkid=870924
Comment:
    Confirm term loan interest rate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tc={BC5C3F4B-1C50-4783-83BE-91E6043F0122}</author>
    <author>tc={ED535FDA-5FE0-4D44-8DF7-BD2258ECF191}</author>
  </authors>
  <commentList>
    <comment ref="E66" authorId="0" shapeId="0" xr:uid="{00000000-0006-0000-0400-000001000000}">
      <text>
        <t>[Threaded comment]
Your version of Excel allows you to read this threaded comment; however, any edits to it will get removed if the file is opened in a newer version of Excel. Learn more: https://go.microsoft.com/fwlink/?linkid=870924
Comment:
    Confirm term loan drawdown profile</t>
      </text>
    </comment>
    <comment ref="E67"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Confirm term loan payment profile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<sst xmlns="http://schemas.openxmlformats.org/spreadsheetml/2006/main" count="946" uniqueCount="475">
  <si>
    <t>[increases in balance]</t>
  </si>
  <si>
    <t>[reductions in balance]</t>
  </si>
  <si>
    <t>Model column counter</t>
  </si>
  <si>
    <t>First model column flag</t>
  </si>
  <si>
    <t>Acquisition / initial balance date flag</t>
  </si>
  <si>
    <t>Length of forecast period</t>
  </si>
  <si>
    <t>years</t>
  </si>
  <si>
    <t>Last forecast date</t>
  </si>
  <si>
    <t>[xxx] balance BEG</t>
  </si>
  <si>
    <t>Last forecast period flag</t>
  </si>
  <si>
    <t xml:space="preserve"> </t>
  </si>
  <si>
    <t>FLAGS</t>
  </si>
  <si>
    <t>TIME RULER</t>
  </si>
  <si>
    <t>TIMING ASSUMPTIONS</t>
  </si>
  <si>
    <t>[xxx] - Initial balance</t>
  </si>
  <si>
    <t>[xxx] balance</t>
  </si>
  <si>
    <t>flag</t>
  </si>
  <si>
    <t>date</t>
  </si>
  <si>
    <t>Forecast period flag</t>
  </si>
  <si>
    <t>Opening balance sheet date</t>
  </si>
  <si>
    <t>counter</t>
  </si>
  <si>
    <t>Constant</t>
  </si>
  <si>
    <t>Unit</t>
  </si>
  <si>
    <t>Total</t>
  </si>
  <si>
    <t xml:space="preserve">Constant </t>
  </si>
  <si>
    <t xml:space="preserve">  </t>
  </si>
  <si>
    <t>label</t>
  </si>
  <si>
    <t>Financial year ending</t>
  </si>
  <si>
    <t>year #</t>
  </si>
  <si>
    <t>First modelling column financial year number</t>
  </si>
  <si>
    <t>Financial year end month number</t>
  </si>
  <si>
    <t>month #</t>
  </si>
  <si>
    <t>Pre-forecast Vs forecast</t>
  </si>
  <si>
    <t xml:space="preserve">Model period ending </t>
  </si>
  <si>
    <t>PRE-FORECAST VS FORECAST</t>
  </si>
  <si>
    <t>plus</t>
  </si>
  <si>
    <t>less</t>
  </si>
  <si>
    <t>Months per model period</t>
  </si>
  <si>
    <t>months</t>
  </si>
  <si>
    <t xml:space="preserve">Model period beginning </t>
  </si>
  <si>
    <t>1st model column start date</t>
  </si>
  <si>
    <t>stephengugu@gmail.com</t>
  </si>
  <si>
    <t>Forecast period start date</t>
  </si>
  <si>
    <t>Preforecast period flag</t>
  </si>
  <si>
    <t>SIGN SWITCH</t>
  </si>
  <si>
    <t>Sign switch line item POS</t>
  </si>
  <si>
    <t>units</t>
  </si>
  <si>
    <t>Statement Of Comprehensive Income</t>
  </si>
  <si>
    <t>Kes '000'</t>
  </si>
  <si>
    <t>Statement Of Financial Position</t>
  </si>
  <si>
    <t>Non-current assets</t>
  </si>
  <si>
    <t>Current assets</t>
  </si>
  <si>
    <t>Capital and reserves attributable to the company's equity holders</t>
  </si>
  <si>
    <t>Non-current liabilities</t>
  </si>
  <si>
    <t>Current liabilities</t>
  </si>
  <si>
    <t>BALANCE SHEET CHECK</t>
  </si>
  <si>
    <t>check</t>
  </si>
  <si>
    <t>Statement Of Cashflows</t>
  </si>
  <si>
    <t>Operating activities</t>
  </si>
  <si>
    <t>Investing activities</t>
  </si>
  <si>
    <t>Financing activities</t>
  </si>
  <si>
    <t>Movement in cash and cash equivalents</t>
  </si>
  <si>
    <t>First forecast period flag</t>
  </si>
  <si>
    <t>days</t>
  </si>
  <si>
    <t>Local sales  Actuals</t>
  </si>
  <si>
    <t>Exports Actuals</t>
  </si>
  <si>
    <t>Total Revenue Actuals</t>
  </si>
  <si>
    <t/>
  </si>
  <si>
    <t>Gross Profit Actuals</t>
  </si>
  <si>
    <t>Other income Actuals</t>
  </si>
  <si>
    <t>Gross Profit and Other Income Actuals</t>
  </si>
  <si>
    <t>Marketing and distribution costs   Actuals</t>
  </si>
  <si>
    <t>Administrative and other operating expenses   Actuals</t>
  </si>
  <si>
    <t>Net Finance costs Actuals</t>
  </si>
  <si>
    <t>Profit before income tax Actuals</t>
  </si>
  <si>
    <t>Tax calculated at domestic rate; 30% Actuals</t>
  </si>
  <si>
    <t>Interim dividend Actuals</t>
  </si>
  <si>
    <t>Proposed final dividend Actuals</t>
  </si>
  <si>
    <t>Total Dividends Actuals</t>
  </si>
  <si>
    <t>Property, plant and equipment Actuals</t>
  </si>
  <si>
    <t>Total Non-current Assets Actuals</t>
  </si>
  <si>
    <t>Inventories Actuals</t>
  </si>
  <si>
    <t>Total Receivables and Prepayments Actuals</t>
  </si>
  <si>
    <t>Cash at bank and cash in hand Actuals</t>
  </si>
  <si>
    <t>Total Current Assets Actuals</t>
  </si>
  <si>
    <t>Total Assets Actuals</t>
  </si>
  <si>
    <t>Retained earnings Actuals</t>
  </si>
  <si>
    <t>Proposed dividend Actuals</t>
  </si>
  <si>
    <t>Total equity Actuals</t>
  </si>
  <si>
    <t>Deferred tax liabilities   Actuals</t>
  </si>
  <si>
    <t>Total non-current liabilities Actuals</t>
  </si>
  <si>
    <t>Total Current Liabilities Actuals</t>
  </si>
  <si>
    <t>Total Liabilities Actuals</t>
  </si>
  <si>
    <t>Total Equity and Liabilities Actuals</t>
  </si>
  <si>
    <t>Balance Sheet Check Actuals</t>
  </si>
  <si>
    <t>Balance sheet difference Actuals</t>
  </si>
  <si>
    <t>Balance sheet check Actuals</t>
  </si>
  <si>
    <t>Income tax paid Actuals</t>
  </si>
  <si>
    <t>Proceeds from disposal of property, plant and equipment Actuals</t>
  </si>
  <si>
    <t>Net cash used in investing activities Actuals</t>
  </si>
  <si>
    <t>Dividends paid to the company’s shareholders Actuals</t>
  </si>
  <si>
    <t>Proceeds from borrowings / (Borrowings) Actuals</t>
  </si>
  <si>
    <t>Net cash used in financing activities Actuals</t>
  </si>
  <si>
    <t>Net increase in cash and cash equivalents Actuals</t>
  </si>
  <si>
    <t>At start of year Actuals</t>
  </si>
  <si>
    <t>Net movement in cash and cash equivalents Actuals</t>
  </si>
  <si>
    <t>Bank overdrafts  Actuals</t>
  </si>
  <si>
    <t>Cash and Cash Equivalents at year end Actuals</t>
  </si>
  <si>
    <t>Days in year</t>
  </si>
  <si>
    <t>Cost Of sales Actuals</t>
  </si>
  <si>
    <t>Depreciation and Amortisation of property, plant and equipment Actuals</t>
  </si>
  <si>
    <t>Shareholder's Equity</t>
  </si>
  <si>
    <t>Purchase of property, plant and equipment and intangible assets Actuals</t>
  </si>
  <si>
    <t>Current Bank Overdrafts Actuals</t>
  </si>
  <si>
    <t>Total Trade Payables Actuals</t>
  </si>
  <si>
    <t xml:space="preserve">Table of Contents </t>
  </si>
  <si>
    <t>Product:</t>
  </si>
  <si>
    <t>Detail</t>
  </si>
  <si>
    <t>Name of sheet</t>
  </si>
  <si>
    <t>Author:</t>
  </si>
  <si>
    <t>InpC</t>
  </si>
  <si>
    <t>Inputs - Constant</t>
  </si>
  <si>
    <t>Email/Telephone:</t>
  </si>
  <si>
    <t>InpS</t>
  </si>
  <si>
    <t>Inputs - Series</t>
  </si>
  <si>
    <t>Finstat Act</t>
  </si>
  <si>
    <t>Financial statements - Actuals</t>
  </si>
  <si>
    <t>Objective:</t>
  </si>
  <si>
    <t>FinStat</t>
  </si>
  <si>
    <t>Financial statements</t>
  </si>
  <si>
    <t>Version:</t>
  </si>
  <si>
    <t>01a</t>
  </si>
  <si>
    <t>OpRev</t>
  </si>
  <si>
    <t>Operating Revenues</t>
  </si>
  <si>
    <t>Version notes</t>
  </si>
  <si>
    <t>OpCost</t>
  </si>
  <si>
    <t>Operating Costs</t>
  </si>
  <si>
    <t xml:space="preserve">Last Review Date </t>
  </si>
  <si>
    <t>Tax</t>
  </si>
  <si>
    <t>Tax Worksheet</t>
  </si>
  <si>
    <t>Client:</t>
  </si>
  <si>
    <t>Time</t>
  </si>
  <si>
    <t>Time worksheet</t>
  </si>
  <si>
    <t>Currency:</t>
  </si>
  <si>
    <t>Kes</t>
  </si>
  <si>
    <t>Temp</t>
  </si>
  <si>
    <t>Template worksheet</t>
  </si>
  <si>
    <t>Key</t>
  </si>
  <si>
    <t>Formatting cells / sheets</t>
  </si>
  <si>
    <t xml:space="preserve">Hard coded input/ raw data </t>
  </si>
  <si>
    <t>Inputs</t>
  </si>
  <si>
    <t>Incomplete</t>
  </si>
  <si>
    <t>Temporary</t>
  </si>
  <si>
    <t>Imports from other worksheets</t>
  </si>
  <si>
    <t>Imports</t>
  </si>
  <si>
    <t>Exports to other worksheets</t>
  </si>
  <si>
    <t>Exports</t>
  </si>
  <si>
    <t>Positive integrity check</t>
  </si>
  <si>
    <t>Negative integrity check</t>
  </si>
  <si>
    <t>MAT Company Limited</t>
  </si>
  <si>
    <t>MAT Limited Financial Model</t>
  </si>
  <si>
    <t>Non-current Loan from MAT Investments Actuals</t>
  </si>
  <si>
    <t>To analyze and value MAT limited</t>
  </si>
  <si>
    <t>[xxx] BALANCE</t>
  </si>
  <si>
    <t>Total Operating Expenses before depreciation</t>
  </si>
  <si>
    <t>Currency name</t>
  </si>
  <si>
    <t>name</t>
  </si>
  <si>
    <t>factor</t>
  </si>
  <si>
    <t>MODELLER INPUTS - DO NOT CHANGE</t>
  </si>
  <si>
    <t>Annual to semi annual conversion factor</t>
  </si>
  <si>
    <t>EBITDA</t>
  </si>
  <si>
    <t>Total Earnings Before Interest and Taxes</t>
  </si>
  <si>
    <t>Total Net Profit After Tax</t>
  </si>
  <si>
    <t>Total changes in working capital</t>
  </si>
  <si>
    <t>Cash from operations</t>
  </si>
  <si>
    <t>SALES</t>
  </si>
  <si>
    <t>Local Sales</t>
  </si>
  <si>
    <t>Historical Local Sales Growth Rate</t>
  </si>
  <si>
    <t>Local sales growth rate</t>
  </si>
  <si>
    <t>%</t>
  </si>
  <si>
    <t>Forecast Local Sales</t>
  </si>
  <si>
    <t>Historical Exports sales Growth Rate</t>
  </si>
  <si>
    <t>Exports sales growth rate</t>
  </si>
  <si>
    <t>Forecast Exports sales</t>
  </si>
  <si>
    <t>Forecast Total Sale</t>
  </si>
  <si>
    <t>Forecast Total Sales</t>
  </si>
  <si>
    <t>Forecast Cost Of Sales</t>
  </si>
  <si>
    <t>Historical cost of sales margin</t>
  </si>
  <si>
    <t>Forecast cost of sales</t>
  </si>
  <si>
    <t>Forecast cost of sales margin</t>
  </si>
  <si>
    <t>Forecast Cost of Sales POS</t>
  </si>
  <si>
    <t xml:space="preserve">Local sales </t>
  </si>
  <si>
    <t>Total Revenue</t>
  </si>
  <si>
    <t>Gross Profit</t>
  </si>
  <si>
    <t>Other income</t>
  </si>
  <si>
    <t>Gross Profit and Other Income</t>
  </si>
  <si>
    <t xml:space="preserve">Marketing and distribution costs  </t>
  </si>
  <si>
    <t xml:space="preserve">Administrative and other operating expenses  </t>
  </si>
  <si>
    <t>Depreciation and Amortisation of property, plant and equipment</t>
  </si>
  <si>
    <t>Net Finance costs</t>
  </si>
  <si>
    <t>Profit before income tax</t>
  </si>
  <si>
    <t>Tax calculated at domestic rate; 30%</t>
  </si>
  <si>
    <t>Interim dividend</t>
  </si>
  <si>
    <t>Proposed final dividend</t>
  </si>
  <si>
    <t>Property, plant and equipment</t>
  </si>
  <si>
    <t>Total Non-current Assets</t>
  </si>
  <si>
    <t>Inventories</t>
  </si>
  <si>
    <t>Total Receivables and Prepayments</t>
  </si>
  <si>
    <t>Cash at bank and cash in hand</t>
  </si>
  <si>
    <t>Total Current Assets</t>
  </si>
  <si>
    <t>Total Assets</t>
  </si>
  <si>
    <t>Retained earnings</t>
  </si>
  <si>
    <t>Proposed dividend</t>
  </si>
  <si>
    <t>Total equity</t>
  </si>
  <si>
    <t>Non-current Loan from MAT Investments</t>
  </si>
  <si>
    <t xml:space="preserve">Deferred tax liabilities  </t>
  </si>
  <si>
    <t>Total non-current liabilities</t>
  </si>
  <si>
    <t>Total Trade Payables</t>
  </si>
  <si>
    <t>Current Bank Overdrafts</t>
  </si>
  <si>
    <t>Total Current Liabilities</t>
  </si>
  <si>
    <t>Total Liabilities</t>
  </si>
  <si>
    <t>Total Equity and Liabilities</t>
  </si>
  <si>
    <t>Balance Sheet Check</t>
  </si>
  <si>
    <t>Balance sheet difference</t>
  </si>
  <si>
    <t>Balance sheet check</t>
  </si>
  <si>
    <t>Income tax paid</t>
  </si>
  <si>
    <t>Purchase of property, plant and equipment and intangible assets</t>
  </si>
  <si>
    <t>Proceeds from disposal of property, plant and equipment</t>
  </si>
  <si>
    <t>Net cash used in investing activities</t>
  </si>
  <si>
    <t>Dividends paid to the company’s shareholders</t>
  </si>
  <si>
    <t>Proceeds from borrowings / (Borrowings)</t>
  </si>
  <si>
    <t>Net cash used in financing activities</t>
  </si>
  <si>
    <t>Net increase in cash and cash equivalents</t>
  </si>
  <si>
    <t>At start of year</t>
  </si>
  <si>
    <t>Net movement in cash and cash equivalents</t>
  </si>
  <si>
    <t xml:space="preserve">Bank overdrafts </t>
  </si>
  <si>
    <t>Cash and Cash Equivalents at year end</t>
  </si>
  <si>
    <t>Forecast Other Income</t>
  </si>
  <si>
    <t>Historical Other Income margin</t>
  </si>
  <si>
    <t>Forecast Other Income margin</t>
  </si>
  <si>
    <t>Forecast Marketing and Distribution Cost</t>
  </si>
  <si>
    <t>Historical Marketing and Distribution Cost margin</t>
  </si>
  <si>
    <t>Forecast Marketing and Distribution Cost margin</t>
  </si>
  <si>
    <t>Forecast Marketing and Distribution Cost POS</t>
  </si>
  <si>
    <t xml:space="preserve">Forecast Administrative &amp; other operating expenses  </t>
  </si>
  <si>
    <t>Historical Administrative &amp; other operating expenses   margin</t>
  </si>
  <si>
    <t>Forecast Administrative &amp; other operating expenses   margin</t>
  </si>
  <si>
    <t>Forecast Administrative &amp; other operating expenses   POS</t>
  </si>
  <si>
    <t>PL</t>
  </si>
  <si>
    <t>periods</t>
  </si>
  <si>
    <t>[Model column counter]</t>
  </si>
  <si>
    <t>BS</t>
  </si>
  <si>
    <t>DEPRECIATION OF ONGOING Building and Freehold Land</t>
  </si>
  <si>
    <t>Building and Freehold Land capex</t>
  </si>
  <si>
    <t>Depreciation of Building and Freehold Land</t>
  </si>
  <si>
    <t>Useful life of Building and Freehold Land</t>
  </si>
  <si>
    <t>Retirement of new Building and Freehold Land CAPEX</t>
  </si>
  <si>
    <t>Retirement of Building and Freehold Land</t>
  </si>
  <si>
    <t>Retirement of historical Building and Freehold Land</t>
  </si>
  <si>
    <t>Building and Freehold Land - depreciable basis - Initial balance</t>
  </si>
  <si>
    <t>Building and Freehold Land historical balance POS</t>
  </si>
  <si>
    <t>Total retirement of Building and Freehold Land</t>
  </si>
  <si>
    <t>Building and Freehold Land equipment - depreciable basis balance</t>
  </si>
  <si>
    <t>Building and Freehold Land - depreciable basis bal BEG</t>
  </si>
  <si>
    <t>Building and Freehold Land - depreciable basis bal</t>
  </si>
  <si>
    <t>Building and Freehold Land depreciation rate</t>
  </si>
  <si>
    <t>Depreciation of Building and Freehold Land POS</t>
  </si>
  <si>
    <t>Building and Freehold Land equipment balance</t>
  </si>
  <si>
    <t>Building and Freehold Land balance BEG</t>
  </si>
  <si>
    <t>Building and Freehold Land balance</t>
  </si>
  <si>
    <t>Capex Assumptions</t>
  </si>
  <si>
    <t>Buildings and Freehold Land Capex POS</t>
  </si>
  <si>
    <t>CAPEX ASSUMPTIONS</t>
  </si>
  <si>
    <t>DEPRECIATION OF ONGOING Plant &amp; Machinery</t>
  </si>
  <si>
    <t>Plant &amp; Machinery capex</t>
  </si>
  <si>
    <t>Plant &amp; Machinery capex POS</t>
  </si>
  <si>
    <t>Depreciation of Plant &amp; Machinery</t>
  </si>
  <si>
    <t>Useful life of Plant &amp; Machinery</t>
  </si>
  <si>
    <t>Retirement of new Plant &amp; Machinery CAPEX</t>
  </si>
  <si>
    <t>Retirement of Plant &amp; Machinery</t>
  </si>
  <si>
    <t>Retirement of historical Plant &amp; Machinery</t>
  </si>
  <si>
    <t>Plant &amp; Machinery - depreciable basis - Initial balance</t>
  </si>
  <si>
    <t>Plant &amp; Machinery historical balance POS</t>
  </si>
  <si>
    <t>Total retirement of Plant &amp; Machinery</t>
  </si>
  <si>
    <t>Plant &amp; Machinery equipment - depreciable basis balance</t>
  </si>
  <si>
    <t>Plant &amp; Machinery - depreciable basis bal BEG</t>
  </si>
  <si>
    <t>Plant &amp; Machinery - depreciable basis bal</t>
  </si>
  <si>
    <t>Plant &amp; Machinery depreciation rate</t>
  </si>
  <si>
    <t>Depreciation of Plant &amp; Machinery POS</t>
  </si>
  <si>
    <t>Plant &amp; Machinery equipment balance</t>
  </si>
  <si>
    <t>Plant &amp; Machinery balance BEG</t>
  </si>
  <si>
    <t>Plant &amp; Machinery balance</t>
  </si>
  <si>
    <t>Building &amp; Freehold Land</t>
  </si>
  <si>
    <t>Plant &amp; Machinary</t>
  </si>
  <si>
    <t>Summary Capex</t>
  </si>
  <si>
    <t>CF</t>
  </si>
  <si>
    <t>Summary Depreciation</t>
  </si>
  <si>
    <t>Summary Book Value</t>
  </si>
  <si>
    <t>MAT Loan BALANCE</t>
  </si>
  <si>
    <t>MAT Loan - Initial balance</t>
  </si>
  <si>
    <t>MAT Loan balance BEG</t>
  </si>
  <si>
    <t>MAT Loan balance</t>
  </si>
  <si>
    <t>Financing  Assumptions</t>
  </si>
  <si>
    <t>additional borrowing</t>
  </si>
  <si>
    <t>FINANCING ASSUMPTIONS</t>
  </si>
  <si>
    <t>MAT Loan balance repayment</t>
  </si>
  <si>
    <t>MAT Loan repayments</t>
  </si>
  <si>
    <t>MAT Loan repayment</t>
  </si>
  <si>
    <t>MAT Loan Interest</t>
  </si>
  <si>
    <t>MAT Loan Interest Rate</t>
  </si>
  <si>
    <t>MAT Loan Interest POS</t>
  </si>
  <si>
    <t>MAT Term Loan BALANCE</t>
  </si>
  <si>
    <t>MAT Term Loan - Initial balance</t>
  </si>
  <si>
    <t>MAT Term Loan balance BEG</t>
  </si>
  <si>
    <t>MAT Term Loan balance</t>
  </si>
  <si>
    <t>Total CAPEX</t>
  </si>
  <si>
    <t>MAT Term loan drawdown</t>
  </si>
  <si>
    <t>MAT Term loan repayment</t>
  </si>
  <si>
    <t>MAT Term Loan Repayment</t>
  </si>
  <si>
    <t>MAT Term Loan Balance at Start of repayment date</t>
  </si>
  <si>
    <t>MAT Term Loan Interest</t>
  </si>
  <si>
    <t>MAT Term Loan interest rate</t>
  </si>
  <si>
    <t>MAT Term Loan Interest POS</t>
  </si>
  <si>
    <t>MAT Term loan repayment POS</t>
  </si>
  <si>
    <t>SUMMARIES</t>
  </si>
  <si>
    <t>Loan Balances</t>
  </si>
  <si>
    <t>Total Loan Balance</t>
  </si>
  <si>
    <t>Loan Repayment</t>
  </si>
  <si>
    <t>Net Financing Cost</t>
  </si>
  <si>
    <t>Total Financing Cost</t>
  </si>
  <si>
    <t>Forecast Tax expense</t>
  </si>
  <si>
    <t>Historical Tax expense margin</t>
  </si>
  <si>
    <t>Forecast Tax expense POS</t>
  </si>
  <si>
    <t>Tax expense rate</t>
  </si>
  <si>
    <t>Forecast Tax expense rate</t>
  </si>
  <si>
    <t>Forecast Tax paid</t>
  </si>
  <si>
    <t>Tax paid rate</t>
  </si>
  <si>
    <t>Historical Tax paid margin</t>
  </si>
  <si>
    <t>Forecast Tax paid rate</t>
  </si>
  <si>
    <t>Forecast Tax paid POS</t>
  </si>
  <si>
    <t>Deferred Tax Liability BALANCE</t>
  </si>
  <si>
    <t>Deferred Tax Liability - Initial balance</t>
  </si>
  <si>
    <t>Deferred Tax Liability balance BEG</t>
  </si>
  <si>
    <t>Deferred Tax Liability balance</t>
  </si>
  <si>
    <t>Tax Assumptions</t>
  </si>
  <si>
    <t>Forecast Dividends</t>
  </si>
  <si>
    <t>Historical Dividends margin</t>
  </si>
  <si>
    <t>Historical Dividends payout ratio</t>
  </si>
  <si>
    <t>Forecast Dividends payout ratio</t>
  </si>
  <si>
    <t>Forecast Interim Dividends</t>
  </si>
  <si>
    <t>Historical Interim Dividends margin</t>
  </si>
  <si>
    <t>Historical Interim Dividends to total dividends ratio</t>
  </si>
  <si>
    <t>Forecast Interim Dividends margin</t>
  </si>
  <si>
    <t>Forecast proposed dividends</t>
  </si>
  <si>
    <t>Forecast Proposed Dividends</t>
  </si>
  <si>
    <t>Forecast Dividends paid</t>
  </si>
  <si>
    <t>Forecast Dividends Paid POS</t>
  </si>
  <si>
    <t>Share Capital BALANCE</t>
  </si>
  <si>
    <t>Share Capital - Initial balance</t>
  </si>
  <si>
    <t>Share Capital balance BEG</t>
  </si>
  <si>
    <t>Share Capital balance</t>
  </si>
  <si>
    <t>Equity Assumptions</t>
  </si>
  <si>
    <t xml:space="preserve">Issue of new shares </t>
  </si>
  <si>
    <t>Share capital redemption</t>
  </si>
  <si>
    <t>Retained Earnings BALANCE</t>
  </si>
  <si>
    <t>Retained Earnings balance BEG</t>
  </si>
  <si>
    <t>Retained Earnings balance</t>
  </si>
  <si>
    <t>Forecast Inventory</t>
  </si>
  <si>
    <t>Historical Inventory Days</t>
  </si>
  <si>
    <t>Forecast Inventory Days</t>
  </si>
  <si>
    <t>Days</t>
  </si>
  <si>
    <t>Changes In Inventory</t>
  </si>
  <si>
    <t>Change In Inventory</t>
  </si>
  <si>
    <t>Forecast Receivables &amp; Pre-payments</t>
  </si>
  <si>
    <t>Historical Receivables &amp; Pre-payments Days</t>
  </si>
  <si>
    <t>Forecast Receivables &amp; Pre-payments Days</t>
  </si>
  <si>
    <t>Changes In Receivables &amp; Pre-payments</t>
  </si>
  <si>
    <t>Change In Receivables &amp; Pre-payments</t>
  </si>
  <si>
    <t>Forecast Trade Payables</t>
  </si>
  <si>
    <t>Historical Trade Payables Days</t>
  </si>
  <si>
    <t>Forecast Trade Payables Days</t>
  </si>
  <si>
    <t>Changes In Trade Payables</t>
  </si>
  <si>
    <t>Change In Trade Payables</t>
  </si>
  <si>
    <t>Summary Change In Working Capital</t>
  </si>
  <si>
    <t>Forecast Change In Working Capital</t>
  </si>
  <si>
    <t>Total loan borrowing and repayment</t>
  </si>
  <si>
    <t>Operating Revenue Assumptions</t>
  </si>
  <si>
    <t>Operating Costs Assumptions</t>
  </si>
  <si>
    <t>Tax Assumptona</t>
  </si>
  <si>
    <t>Working Capital Assumptions</t>
  </si>
  <si>
    <t>FCFF</t>
  </si>
  <si>
    <t>Free Cashflows To The Firm</t>
  </si>
  <si>
    <t>Discount Rate</t>
  </si>
  <si>
    <t>Days of discounting</t>
  </si>
  <si>
    <t>Valuation date</t>
  </si>
  <si>
    <t>Date</t>
  </si>
  <si>
    <t>Valuation Assumptions</t>
  </si>
  <si>
    <t>Years from valuation date</t>
  </si>
  <si>
    <t>Days from valuation date</t>
  </si>
  <si>
    <t>Yrs</t>
  </si>
  <si>
    <t>Discount rate</t>
  </si>
  <si>
    <t>Cost of Capital</t>
  </si>
  <si>
    <t>Forecast period cashflows</t>
  </si>
  <si>
    <t>Forecast period cash flows</t>
  </si>
  <si>
    <t>Terminal Cashflows</t>
  </si>
  <si>
    <t>Terminal growth rate</t>
  </si>
  <si>
    <t>Summary Cashflows</t>
  </si>
  <si>
    <t>Total Forecast Cashflows</t>
  </si>
  <si>
    <t>Enterprise Value</t>
  </si>
  <si>
    <t>Equity Value</t>
  </si>
  <si>
    <t>Equity value</t>
  </si>
  <si>
    <t>Debt balance - Val date</t>
  </si>
  <si>
    <t>Cash Balance- Val date</t>
  </si>
  <si>
    <t>Bank overdraft</t>
  </si>
  <si>
    <t>Number of shares</t>
  </si>
  <si>
    <t>000'</t>
  </si>
  <si>
    <t>Price Per Share</t>
  </si>
  <si>
    <t>Forecast Local Sales Growth Rate-Base Case</t>
  </si>
  <si>
    <t>Forecast Local Sales Growth Rate-Best Case</t>
  </si>
  <si>
    <t>Forecast Local Sales Growth Rate-Worst Case</t>
  </si>
  <si>
    <t>Forecast Exports sales Growth Rate-Base Case</t>
  </si>
  <si>
    <t>Forecast Exports sales Growth Rate-Best Case</t>
  </si>
  <si>
    <t>Forecast Exports sales Growth Rate-Worst Case</t>
  </si>
  <si>
    <t>Forecast cost of sales margin -Base Case</t>
  </si>
  <si>
    <t>Forecast cost of sales margin -Best Case</t>
  </si>
  <si>
    <t>Forecast cost of sales margin -Worst Case</t>
  </si>
  <si>
    <t>Forecast other income margin</t>
  </si>
  <si>
    <t>Forecast other operating expenses</t>
  </si>
  <si>
    <t>Case</t>
  </si>
  <si>
    <t>Description</t>
  </si>
  <si>
    <t>A</t>
  </si>
  <si>
    <t>B</t>
  </si>
  <si>
    <t>C</t>
  </si>
  <si>
    <t>D</t>
  </si>
  <si>
    <t>E</t>
  </si>
  <si>
    <t>X</t>
  </si>
  <si>
    <t>Combined</t>
  </si>
  <si>
    <t>Case in Use</t>
  </si>
  <si>
    <t>Local Sales Growth Rate</t>
  </si>
  <si>
    <t>Export Sales Growth Rate</t>
  </si>
  <si>
    <t>Cost of sales margin</t>
  </si>
  <si>
    <t>Cost of capital</t>
  </si>
  <si>
    <t>Scenario Manager</t>
  </si>
  <si>
    <t>Sensitivity Analysis</t>
  </si>
  <si>
    <t>Cost Of Capital</t>
  </si>
  <si>
    <t>Terminal Growth Rate</t>
  </si>
  <si>
    <t>Kimuyu Charles</t>
  </si>
  <si>
    <t>charlesnzioka1@gmail.com</t>
  </si>
  <si>
    <t>MAT Company Ltd</t>
  </si>
  <si>
    <t>Summary</t>
  </si>
  <si>
    <t>Summary Output &amp; Results</t>
  </si>
  <si>
    <t>Scenario &amp; Sensitivity</t>
  </si>
  <si>
    <t>Scenario Analysis</t>
  </si>
  <si>
    <t>Equity</t>
  </si>
  <si>
    <t>WorkCap</t>
  </si>
  <si>
    <t>Valn</t>
  </si>
  <si>
    <t>Equity Worksheet</t>
  </si>
  <si>
    <t>Working Capital Worksheet</t>
  </si>
  <si>
    <t>Valuation Worksheet</t>
  </si>
  <si>
    <t>Projected</t>
  </si>
  <si>
    <t>Income Statement Items</t>
  </si>
  <si>
    <t>Net Revenue</t>
  </si>
  <si>
    <t>(MM)</t>
  </si>
  <si>
    <t xml:space="preserve">   Growth</t>
  </si>
  <si>
    <t>(%)</t>
  </si>
  <si>
    <t xml:space="preserve">   Margin</t>
  </si>
  <si>
    <t>Net Income</t>
  </si>
  <si>
    <t>Company Value</t>
  </si>
  <si>
    <t>SUMMARY VALUES - BASE CASE</t>
  </si>
  <si>
    <t>Trend</t>
  </si>
  <si>
    <t>( Kes '000')</t>
  </si>
  <si>
    <t>SUMMARY VALUES - BEST CASE</t>
  </si>
  <si>
    <t>Pre-forecast</t>
  </si>
  <si>
    <t>Forecast</t>
  </si>
  <si>
    <t>SUMMARY VALUES - WORST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</si>
</sst>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_);\(#,##0\);&quot;-  &quot;;&quot; &quot;@"/>
    <numFmt numFmtId="165" formatCode="#,##0.0000_);\(#,##0.0000\);&quot;-  &quot;;&quot; &quot;@"/>
    <numFmt numFmtId="166" formatCode="0.00%_);\-0.00%_);&quot;-  &quot;;&quot; &quot;@"/>
    <numFmt numFmtId="167" formatCode="#,##0.0_);\(#,##0.0\);&quot;-  &quot;;&quot; &quot;@"/>
    <numFmt numFmtId="168" formatCode="dd\ mmm\ yyyy_);;&quot;-  &quot;;&quot; &quot;@"/>
    <numFmt numFmtId="169" formatCode="dd\ mmm\ yy_);;&quot;-  &quot;;&quot; &quot;@"/>
    <numFmt numFmtId="170" formatCode="_-* #,##0.00_-;[Red]\(#,##0.00\);_-* &quot;-&quot;_-;_-@_-"/>
    <numFmt numFmtId="171" formatCode="[$-F800]dddd\,\ mmmm\ dd\,\ yyyy"/>
    <numFmt numFmtId="172" formatCode="_-* #,##0_-;\-* #,##0_-;_-* &quot;-&quot;??_-;_-@_-"/>
    <numFmt numFmtId="173" formatCode="#,##0;[Red]\(#,##0\)"/>
    <numFmt numFmtId="174" formatCode="#,##0_);\(#,##0\);&quot;-  &quot;;&quot; &quot;@&quot; &quot;"/>
    <numFmt numFmtId="175" formatCode="#,##0.0000_);\(#,##0.0000\);&quot;-  &quot;;&quot; &quot;@&quot; &quot;"/>
    <numFmt numFmtId="176" formatCode="###0_);\(#,##0\);&quot;-  &quot;;&quot; &quot;@"/>
    <numFmt numFmtId="177" formatCode="#,##0.00_);\(#,##0.00\);&quot;-  &quot;;&quot; &quot;@"/>
    <numFmt numFmtId="178" formatCode="0\A"/>
    <numFmt numFmtId="179" formatCode="0\F"/>
    <numFmt numFmtId="180" formatCode="&quot;$&quot;#,##0_);\(&quot;$&quot;#,##0\)"/>
    <numFmt numFmtId="181" formatCode="0.0%;\(0.0%\)"/>
    <numFmt numFmtId="182" formatCode="0.0"/>
  </numFmts>
  <fonts count="69">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u/>
      <sz val="10"/>
      <name val="Arial"/>
      <family val="2"/>
    </font>
    <font>
      <b/>
      <sz val="10"/>
      <name val="Arial"/>
      <family val="2"/>
    </font>
    <font>
      <u/>
      <sz val="10"/>
      <name val="Arial"/>
      <family val="2"/>
    </font>
    <font>
      <sz val="10"/>
      <color indexed="12"/>
      <name val="Arial"/>
      <family val="2"/>
    </font>
    <font>
      <b/>
      <sz val="10"/>
      <color indexed="12"/>
      <name val="Arial"/>
      <family val="2"/>
    </font>
    <font>
      <sz val="10"/>
      <color indexed="12"/>
      <name val="Arial"/>
      <family val="2"/>
    </font>
    <font>
      <u/>
      <sz val="10"/>
      <color indexed="12"/>
      <name val="Arial"/>
      <family val="2"/>
    </font>
    <font>
      <b/>
      <u/>
      <sz val="10"/>
      <name val="Arial"/>
      <family val="2"/>
    </font>
    <font>
      <b/>
      <sz val="10"/>
      <color indexed="10"/>
      <name val="Arial"/>
      <family val="2"/>
    </font>
    <font>
      <u/>
      <sz val="10"/>
      <color indexed="10"/>
      <name val="Arial"/>
      <family val="2"/>
    </font>
    <font>
      <sz val="10"/>
      <color indexed="10"/>
      <name val="Arial"/>
      <family val="2"/>
    </font>
    <font>
      <sz val="10"/>
      <name val="Arial"/>
      <family val="2"/>
    </font>
    <font>
      <b/>
      <sz val="20"/>
      <name val="Arial"/>
      <family val="2"/>
    </font>
    <font>
      <sz val="10"/>
      <color indexed="12"/>
      <name val="Arial"/>
      <family val="2"/>
    </font>
    <font>
      <sz val="9"/>
      <color indexed="81"/>
      <name val="Tahoma"/>
      <family val="2"/>
    </font>
    <font>
      <b/>
      <sz val="9"/>
      <color indexed="81"/>
      <name val="Tahoma"/>
      <family val="2"/>
    </font>
    <font>
      <b/>
      <sz val="10"/>
      <name val="Hervitica narrow"/>
    </font>
    <font>
      <sz val="10"/>
      <name val="Hervitica narrow"/>
    </font>
    <font>
      <sz val="10"/>
      <color indexed="12"/>
      <name val="Helvetica-Narrow"/>
      <family val="2"/>
    </font>
    <font>
      <sz val="10"/>
      <color indexed="12"/>
      <name val="Hervitica narrow"/>
    </font>
    <font>
      <i/>
      <sz val="10"/>
      <name val="Arial"/>
      <family val="2"/>
    </font>
    <font>
      <sz val="11"/>
      <color theme="1"/>
      <name val="Calibri"/>
      <family val="2"/>
      <scheme val="minor"/>
    </font>
    <font>
      <b/>
      <sz val="10"/>
      <color theme="1"/>
      <name val="Hervitica narrow"/>
    </font>
    <font>
      <sz val="10"/>
      <color theme="1"/>
      <name val="Hervitica narrow"/>
    </font>
    <font>
      <b/>
      <sz val="9"/>
      <color theme="1"/>
      <name val="Calibri"/>
      <family val="2"/>
      <scheme val="minor"/>
    </font>
    <font>
      <b/>
      <sz val="11"/>
      <color theme="1"/>
      <name val="Calibri"/>
      <family val="2"/>
      <scheme val="minor"/>
    </font>
    <font>
      <b/>
      <sz val="11"/>
      <name val="Calibri"/>
      <family val="2"/>
      <scheme val="minor"/>
    </font>
    <font>
      <sz val="10"/>
      <color theme="0"/>
      <name val="Hervitica narrow"/>
    </font>
    <font>
      <sz val="11"/>
      <color indexed="12"/>
      <name val="Calibri"/>
      <family val="2"/>
      <scheme val="minor"/>
    </font>
    <font>
      <sz val="11"/>
      <name val="Calibri"/>
      <family val="2"/>
      <scheme val="minor"/>
    </font>
    <font>
      <b/>
      <sz val="10"/>
      <color rgb="FFFF0000"/>
      <name val="Arial"/>
      <family val="2"/>
    </font>
    <font>
      <u/>
      <sz val="10"/>
      <color rgb="FFFF0000"/>
      <name val="Arial"/>
      <family val="2"/>
    </font>
    <font>
      <sz val="10"/>
      <color rgb="FFFF0000"/>
      <name val="Arial"/>
      <family val="2"/>
    </font>
    <font>
      <b/>
      <sz val="16"/>
      <color theme="0"/>
      <name val="Arial"/>
      <family val="2"/>
    </font>
    <font>
      <sz val="10"/>
      <color theme="1"/>
      <name val="Arial"/>
      <family val="2"/>
    </font>
    <font>
      <b/>
      <u val="singleAccounting"/>
      <sz val="10"/>
      <name val="Arial"/>
      <family val="2"/>
    </font>
    <font>
      <b/>
      <sz val="10"/>
      <color rgb="FF0000FF"/>
      <name val="Hervitica narrow"/>
    </font>
    <font>
      <u/>
      <sz val="8"/>
      <color theme="10"/>
      <name val="Arial"/>
      <family val="2"/>
    </font>
    <font>
      <sz val="10"/>
      <color rgb="FF0000FF"/>
      <name val="Arial"/>
      <family val="2"/>
    </font>
    <font>
      <b/>
      <sz val="10"/>
      <color rgb="FF0000FF"/>
      <name val="Arial"/>
      <family val="2"/>
    </font>
    <font>
      <u/>
      <sz val="10"/>
      <color rgb="FF0000FF"/>
      <name val="Arial"/>
      <family val="2"/>
    </font>
    <font>
      <sz val="10"/>
      <color theme="0"/>
      <name val="Arial"/>
      <family val="2"/>
    </font>
    <font>
      <b/>
      <sz val="10"/>
      <color theme="0"/>
      <name val="Arial"/>
      <family val="2"/>
    </font>
    <font>
      <b/>
      <sz val="11"/>
      <name val="Arial"/>
      <family val="2"/>
    </font>
    <font>
      <sz val="11"/>
      <name val="Arial"/>
      <family val="2"/>
    </font>
    <font>
      <sz val="11"/>
      <color rgb="FFFF0000"/>
      <name val="Arial Narrow"/>
      <family val="2"/>
    </font>
    <font>
      <b/>
      <sz val="10"/>
      <color theme="10"/>
      <name val="Arial"/>
      <family val="2"/>
    </font>
    <font>
      <b/>
      <sz val="12"/>
      <name val="Arial"/>
      <family val="2"/>
    </font>
    <font>
      <b/>
      <i/>
      <sz val="14"/>
      <name val="Arial"/>
      <family val="2"/>
    </font>
    <font>
      <b/>
      <i/>
      <sz val="10"/>
      <name val="Arial"/>
      <family val="2"/>
    </font>
    <font>
      <i/>
      <sz val="9"/>
      <name val="Arial"/>
      <family val="2"/>
    </font>
    <font>
      <sz val="9"/>
      <name val="Arial"/>
      <family val="2"/>
    </font>
    <font>
      <b/>
      <u/>
      <sz val="10"/>
      <color indexed="12"/>
      <name val="Arial"/>
      <family val="2"/>
    </font>
    <font>
      <b/>
      <sz val="9"/>
      <color indexed="12"/>
      <name val="Arial"/>
      <family val="2"/>
    </font>
    <font>
      <b/>
      <i/>
      <sz val="10"/>
      <color theme="0"/>
      <name val="Arial"/>
      <family val="2"/>
    </font>
    <font>
      <i/>
      <sz val="10"/>
      <color theme="0"/>
      <name val="Arial"/>
      <family val="2"/>
    </font>
    <font>
      <b/>
      <sz val="8"/>
      <color rgb="FF008ED6"/>
      <name val="Arial"/>
      <family val="2"/>
    </font>
    <font>
      <sz val="10"/>
      <color rgb="FF002F6C"/>
      <name val="Arial"/>
      <family val="2"/>
    </font>
    <font>
      <i/>
      <sz val="9"/>
      <color rgb="FF002F6C"/>
      <name val="Arial"/>
      <family val="2"/>
    </font>
    <font>
      <sz val="10"/>
      <color rgb="FF4586BB"/>
      <name val="Arial"/>
      <family val="2"/>
    </font>
    <font>
      <sz val="9"/>
      <color rgb="FF002F6C"/>
      <name val="Arial"/>
      <family val="2"/>
    </font>
    <font>
      <b/>
      <sz val="8"/>
      <name val="Arial"/>
      <family val="2"/>
    </font>
  </fonts>
  <fills count="18">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55"/>
        <bgColor indexed="64"/>
      </patternFill>
    </fill>
    <fill>
      <patternFill patternType="solid">
        <fgColor indexed="11"/>
        <bgColor indexed="64"/>
      </patternFill>
    </fill>
    <fill>
      <patternFill patternType="solid">
        <fgColor rgb="FFFFFF99"/>
        <bgColor indexed="64"/>
      </patternFill>
    </fill>
    <fill>
      <patternFill patternType="solid">
        <fgColor rgb="FF002060"/>
        <bgColor indexed="64"/>
      </patternFill>
    </fill>
    <fill>
      <patternFill patternType="solid">
        <fgColor rgb="FFFFFF00"/>
        <bgColor indexed="64"/>
      </patternFill>
    </fill>
    <fill>
      <patternFill patternType="solid">
        <fgColor rgb="FF99CC00"/>
        <bgColor indexed="64"/>
      </patternFill>
    </fill>
    <fill>
      <patternFill patternType="solid">
        <fgColor rgb="FFFF0000"/>
        <bgColor indexed="64"/>
      </patternFill>
    </fill>
    <fill>
      <patternFill patternType="solid">
        <fgColor rgb="FFC0C0C0"/>
        <bgColor indexed="64"/>
      </patternFill>
    </fill>
    <fill>
      <patternFill patternType="solid">
        <fgColor rgb="FF00B050"/>
        <bgColor indexed="64"/>
      </patternFill>
    </fill>
    <fill>
      <patternFill patternType="solid">
        <fgColor rgb="FF002F6C"/>
        <bgColor indexed="64"/>
      </patternFill>
    </fill>
    <fill>
      <patternFill patternType="solid">
        <fgColor rgb="FF009966"/>
        <bgColor indexed="64"/>
      </patternFill>
    </fill>
    <fill>
      <patternFill patternType="solid">
        <fgColor rgb="FF5B77CC"/>
        <bgColor indexed="64"/>
      </patternFill>
    </fill>
  </fills>
  <borders count="28">
    <border>
      <left/>
      <right/>
      <top/>
      <bottom/>
      <diagonal/>
    </border>
    <border>
      <left style="thin">
        <color indexed="12"/>
      </left>
      <right style="thin">
        <color indexed="12"/>
      </right>
      <top style="thin">
        <color indexed="12"/>
      </top>
      <bottom style="thin">
        <color indexed="12"/>
      </bottom>
      <diagonal/>
    </border>
    <border>
      <left/>
      <right/>
      <top style="thin">
        <color indexed="23"/>
      </top>
      <bottom/>
      <diagonal/>
    </border>
    <border>
      <left/>
      <right/>
      <top/>
      <bottom style="thin">
        <color indexed="23"/>
      </bottom>
      <diagonal/>
    </border>
    <border>
      <left/>
      <right/>
      <top style="thin">
        <color indexed="64"/>
      </top>
      <bottom/>
      <diagonal/>
    </border>
    <border>
      <left/>
      <right/>
      <top style="thin">
        <color indexed="64"/>
      </top>
      <bottom style="double">
        <color indexed="64"/>
      </bottom>
      <diagonal/>
    </border>
    <border>
      <left/>
      <right/>
      <top style="thin">
        <color rgb="FF808080"/>
      </top>
      <bottom style="thin">
        <color rgb="FF808080"/>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otted">
        <color rgb="FF009966"/>
      </bottom>
      <diagonal/>
    </border>
    <border>
      <left/>
      <right style="thin">
        <color indexed="64"/>
      </right>
      <top/>
      <bottom style="dotted">
        <color rgb="FF009966"/>
      </bottom>
      <diagonal/>
    </border>
  </borders>
  <cellStyleXfs count="17">
    <xf numFmtId="164" fontId="0" fillId="0" borderId="0" applyFont="0" applyFill="0" applyBorder="0" applyAlignment="0" applyProtection="0">
      <alignment vertical="top"/>
    </xf>
    <xf numFmtId="164" fontId="6" fillId="0" borderId="0" applyFont="0" applyFill="0" applyBorder="0" applyProtection="0">
      <alignment vertical="top"/>
    </xf>
    <xf numFmtId="0" fontId="25" fillId="2" borderId="1" applyNumberFormat="0" applyAlignment="0" applyProtection="0"/>
    <xf numFmtId="164" fontId="6" fillId="0" borderId="0" applyFont="0" applyFill="0" applyBorder="0" applyProtection="0">
      <alignment vertical="top"/>
    </xf>
    <xf numFmtId="164" fontId="6" fillId="0" borderId="0" applyFont="0" applyFill="0" applyBorder="0" applyProtection="0">
      <alignment vertical="top"/>
    </xf>
    <xf numFmtId="168" fontId="4" fillId="0" borderId="0" applyFont="0" applyFill="0" applyBorder="0" applyAlignment="0" applyProtection="0">
      <alignment vertical="top"/>
    </xf>
    <xf numFmtId="169" fontId="4" fillId="0" borderId="0" applyFont="0" applyFill="0" applyBorder="0" applyAlignment="0" applyProtection="0">
      <alignment vertical="top"/>
    </xf>
    <xf numFmtId="165" fontId="4" fillId="0" borderId="0" applyFont="0" applyFill="0" applyBorder="0" applyAlignment="0" applyProtection="0">
      <alignment vertical="top"/>
    </xf>
    <xf numFmtId="166" fontId="4" fillId="0" borderId="0" applyFont="0" applyFill="0" applyBorder="0" applyAlignment="0" applyProtection="0">
      <alignment vertical="top"/>
    </xf>
    <xf numFmtId="164" fontId="4" fillId="0" borderId="0" applyFont="0" applyFill="0" applyBorder="0" applyAlignment="0" applyProtection="0">
      <alignment vertical="top"/>
    </xf>
    <xf numFmtId="164" fontId="4" fillId="0" borderId="0" applyFont="0" applyFill="0" applyBorder="0" applyProtection="0">
      <alignment vertical="top"/>
    </xf>
    <xf numFmtId="164" fontId="4" fillId="0" borderId="0" applyFont="0" applyFill="0" applyBorder="0" applyProtection="0">
      <alignment vertical="top"/>
    </xf>
    <xf numFmtId="164" fontId="4" fillId="0" borderId="0" applyFont="0" applyFill="0" applyBorder="0" applyProtection="0">
      <alignment vertical="top"/>
    </xf>
    <xf numFmtId="0" fontId="44" fillId="0" borderId="0" applyNumberFormat="0" applyFill="0" applyBorder="0" applyAlignment="0" applyProtection="0">
      <alignment vertical="top"/>
      <protection locked="0"/>
    </xf>
    <xf numFmtId="174" fontId="4" fillId="0" borderId="0" applyFont="0" applyFill="0" applyBorder="0" applyProtection="0">
      <alignment vertical="top"/>
    </xf>
    <xf numFmtId="175" fontId="4" fillId="0" borderId="0" applyFont="0" applyFill="0" applyBorder="0" applyProtection="0">
      <alignment vertical="top"/>
    </xf>
    <xf numFmtId="0" fontId="4" fillId="0" borderId="0"/>
  </cellStyleXfs>
  <cellXfs count="531">
    <xf numFmtId="164" fontId="0" fillId="0" borderId="0" xfId="0" applyAlignment="1">
      <alignment vertical="top"/>
    </xf>
    <xf numFmtId="165" fontId="18" fillId="0" borderId="0" xfId="7" applyFont="1">
      <alignment vertical="top"/>
    </xf>
    <xf numFmtId="166" fontId="18" fillId="0" borderId="0" xfId="8" applyFont="1" applyAlignment="1">
      <alignment vertical="top"/>
    </xf>
    <xf numFmtId="164" fontId="18" fillId="0" borderId="0" xfId="0" applyFont="1">
      <alignment vertical="top"/>
    </xf>
    <xf numFmtId="164" fontId="8" fillId="0" borderId="0" xfId="0" applyFont="1" applyFill="1" applyAlignment="1">
      <alignment vertical="top"/>
    </xf>
    <xf numFmtId="164" fontId="9" fillId="0" borderId="0" xfId="0" applyFont="1" applyAlignment="1">
      <alignment vertical="top"/>
    </xf>
    <xf numFmtId="164" fontId="6" fillId="0" borderId="0" xfId="0" applyFont="1" applyAlignment="1">
      <alignment horizontal="right" vertical="top"/>
    </xf>
    <xf numFmtId="164" fontId="6" fillId="0" borderId="0" xfId="0" applyFont="1" applyAlignment="1">
      <alignment vertical="top"/>
    </xf>
    <xf numFmtId="164" fontId="8" fillId="0" borderId="0" xfId="0" applyFont="1" applyBorder="1" applyAlignment="1">
      <alignment vertical="top"/>
    </xf>
    <xf numFmtId="164" fontId="9" fillId="0" borderId="0" xfId="0" applyFont="1" applyBorder="1" applyAlignment="1">
      <alignment vertical="top"/>
    </xf>
    <xf numFmtId="164" fontId="8" fillId="0" borderId="0" xfId="0" applyFont="1" applyAlignment="1">
      <alignment vertical="top"/>
    </xf>
    <xf numFmtId="164" fontId="0" fillId="0" borderId="0" xfId="0" applyFont="1" applyAlignment="1">
      <alignment horizontal="right" vertical="top"/>
    </xf>
    <xf numFmtId="164" fontId="0" fillId="0" borderId="0" xfId="0" applyFont="1" applyAlignment="1">
      <alignment vertical="top"/>
    </xf>
    <xf numFmtId="164" fontId="0" fillId="0" borderId="0" xfId="0" applyFont="1" applyBorder="1" applyAlignment="1">
      <alignment horizontal="right" vertical="top"/>
    </xf>
    <xf numFmtId="164" fontId="0" fillId="0" borderId="0" xfId="0" applyFont="1" applyBorder="1" applyAlignment="1">
      <alignment vertical="top"/>
    </xf>
    <xf numFmtId="164" fontId="10" fillId="0" borderId="0" xfId="0" applyFont="1" applyBorder="1" applyAlignment="1">
      <alignment vertical="top"/>
    </xf>
    <xf numFmtId="164" fontId="9" fillId="0" borderId="0" xfId="0" applyFont="1" applyFill="1" applyAlignment="1">
      <alignment vertical="top"/>
    </xf>
    <xf numFmtId="164" fontId="0" fillId="0" borderId="0" xfId="0" applyFont="1" applyFill="1" applyAlignment="1">
      <alignment horizontal="right" vertical="top"/>
    </xf>
    <xf numFmtId="164" fontId="0" fillId="0" borderId="0" xfId="0" applyFont="1" applyFill="1" applyAlignment="1">
      <alignment vertical="top"/>
    </xf>
    <xf numFmtId="164" fontId="4" fillId="0" borderId="0" xfId="0" applyFont="1" applyFill="1" applyAlignment="1">
      <alignment vertical="top"/>
    </xf>
    <xf numFmtId="169" fontId="8" fillId="0" borderId="0" xfId="6" applyFont="1" applyAlignment="1">
      <alignment vertical="top"/>
    </xf>
    <xf numFmtId="169" fontId="8" fillId="0" borderId="0" xfId="6" applyFont="1" applyFill="1" applyAlignment="1">
      <alignment vertical="top"/>
    </xf>
    <xf numFmtId="169" fontId="0" fillId="0" borderId="0" xfId="6" applyFont="1" applyAlignment="1">
      <alignment vertical="top"/>
    </xf>
    <xf numFmtId="168" fontId="6" fillId="3" borderId="0" xfId="5" applyFont="1" applyFill="1" applyAlignment="1">
      <alignment vertical="top"/>
    </xf>
    <xf numFmtId="168" fontId="8" fillId="0" borderId="0" xfId="5" applyFont="1" applyFill="1" applyAlignment="1">
      <alignment vertical="top"/>
    </xf>
    <xf numFmtId="169" fontId="0" fillId="0" borderId="0" xfId="6" applyFont="1" applyAlignment="1">
      <alignment horizontal="right" vertical="top"/>
    </xf>
    <xf numFmtId="164" fontId="4" fillId="0" borderId="0" xfId="0" applyFont="1" applyAlignment="1">
      <alignment horizontal="right" vertical="top"/>
    </xf>
    <xf numFmtId="164" fontId="4" fillId="0" borderId="0" xfId="0" applyFont="1" applyAlignment="1">
      <alignment vertical="top"/>
    </xf>
    <xf numFmtId="168" fontId="9" fillId="0" borderId="0" xfId="5" applyFont="1" applyFill="1" applyAlignment="1">
      <alignment vertical="top"/>
    </xf>
    <xf numFmtId="168" fontId="9" fillId="0" borderId="0" xfId="5" applyFont="1" applyAlignment="1">
      <alignment vertical="top"/>
    </xf>
    <xf numFmtId="168" fontId="6" fillId="0" borderId="0" xfId="5" applyFont="1" applyFill="1" applyAlignment="1">
      <alignment horizontal="right" vertical="top"/>
    </xf>
    <xf numFmtId="168" fontId="6" fillId="0" borderId="0" xfId="5" applyFont="1" applyAlignment="1">
      <alignment vertical="top"/>
    </xf>
    <xf numFmtId="168" fontId="8" fillId="0" borderId="0" xfId="5" applyFont="1" applyAlignment="1">
      <alignment vertical="top"/>
    </xf>
    <xf numFmtId="168" fontId="6" fillId="0" borderId="0" xfId="5" applyFont="1" applyFill="1" applyAlignment="1">
      <alignment vertical="top"/>
    </xf>
    <xf numFmtId="169" fontId="9" fillId="0" borderId="0" xfId="6" applyFont="1" applyAlignment="1">
      <alignment vertical="top"/>
    </xf>
    <xf numFmtId="164" fontId="11" fillId="0" borderId="0" xfId="0" applyFont="1" applyBorder="1" applyAlignment="1">
      <alignment vertical="top"/>
    </xf>
    <xf numFmtId="164" fontId="13" fillId="0" borderId="0" xfId="0" applyFont="1" applyBorder="1" applyAlignment="1">
      <alignment vertical="top"/>
    </xf>
    <xf numFmtId="169" fontId="6" fillId="0" borderId="0" xfId="6" applyFont="1" applyFill="1" applyAlignment="1">
      <alignment vertical="top"/>
    </xf>
    <xf numFmtId="169" fontId="9" fillId="0" borderId="0" xfId="6" applyFont="1" applyFill="1" applyAlignment="1">
      <alignment vertical="top"/>
    </xf>
    <xf numFmtId="169" fontId="6" fillId="0" borderId="0" xfId="6" applyFont="1" applyFill="1" applyAlignment="1">
      <alignment horizontal="right" vertical="top"/>
    </xf>
    <xf numFmtId="164" fontId="0" fillId="3" borderId="0" xfId="0" applyFont="1" applyFill="1" applyAlignment="1">
      <alignment vertical="top"/>
    </xf>
    <xf numFmtId="164" fontId="15" fillId="0" borderId="0" xfId="0" applyFont="1" applyAlignment="1">
      <alignment vertical="top"/>
    </xf>
    <xf numFmtId="164" fontId="16" fillId="0" borderId="0" xfId="0" applyFont="1" applyAlignment="1">
      <alignment vertical="top"/>
    </xf>
    <xf numFmtId="164" fontId="17" fillId="0" borderId="0" xfId="0" applyFont="1" applyAlignment="1">
      <alignment horizontal="right" vertical="top"/>
    </xf>
    <xf numFmtId="164" fontId="17" fillId="0" borderId="0" xfId="0" applyFont="1" applyAlignment="1">
      <alignment vertical="top"/>
    </xf>
    <xf numFmtId="169" fontId="17" fillId="0" borderId="0" xfId="6" applyFont="1" applyFill="1" applyAlignment="1">
      <alignment vertical="top"/>
    </xf>
    <xf numFmtId="169" fontId="16" fillId="0" borderId="0" xfId="6" applyFont="1" applyFill="1" applyAlignment="1">
      <alignment vertical="top"/>
    </xf>
    <xf numFmtId="169" fontId="17" fillId="0" borderId="0" xfId="6" applyFont="1" applyFill="1" applyAlignment="1">
      <alignment horizontal="right" vertical="top"/>
    </xf>
    <xf numFmtId="168" fontId="13" fillId="0" borderId="0" xfId="5" applyFont="1" applyAlignment="1">
      <alignment vertical="top"/>
    </xf>
    <xf numFmtId="168" fontId="12" fillId="0" borderId="0" xfId="5" applyFont="1" applyAlignment="1">
      <alignment horizontal="right" vertical="top"/>
    </xf>
    <xf numFmtId="168" fontId="12" fillId="0" borderId="0" xfId="5" applyFont="1" applyAlignment="1">
      <alignment vertical="top"/>
    </xf>
    <xf numFmtId="168" fontId="12" fillId="0" borderId="0" xfId="5" applyFont="1" applyFill="1" applyAlignment="1">
      <alignment vertical="top"/>
    </xf>
    <xf numFmtId="168" fontId="11" fillId="0" borderId="0" xfId="5" applyFont="1" applyAlignment="1">
      <alignment vertical="top"/>
    </xf>
    <xf numFmtId="164" fontId="8" fillId="4" borderId="0" xfId="0" applyFont="1" applyFill="1" applyBorder="1" applyAlignment="1">
      <alignment vertical="top"/>
    </xf>
    <xf numFmtId="164" fontId="9" fillId="4" borderId="0" xfId="0" applyFont="1" applyFill="1" applyBorder="1" applyAlignment="1">
      <alignment vertical="top"/>
    </xf>
    <xf numFmtId="164" fontId="8" fillId="0" borderId="2" xfId="0" applyFont="1" applyBorder="1" applyAlignment="1">
      <alignment vertical="top"/>
    </xf>
    <xf numFmtId="164" fontId="9" fillId="0" borderId="2" xfId="0" applyFont="1" applyBorder="1" applyAlignment="1">
      <alignment vertical="top"/>
    </xf>
    <xf numFmtId="164" fontId="18" fillId="0" borderId="0" xfId="0" applyFont="1" applyBorder="1" applyAlignment="1">
      <alignment vertical="top"/>
    </xf>
    <xf numFmtId="164" fontId="18" fillId="0" borderId="0" xfId="0" applyFont="1" applyAlignment="1">
      <alignment vertical="top"/>
    </xf>
    <xf numFmtId="164" fontId="18" fillId="0" borderId="0" xfId="0" applyFont="1" applyFill="1" applyBorder="1" applyAlignment="1">
      <alignment vertical="top"/>
    </xf>
    <xf numFmtId="169" fontId="15" fillId="0" borderId="0" xfId="6" applyFont="1" applyFill="1" applyAlignment="1">
      <alignment vertical="top"/>
    </xf>
    <xf numFmtId="164" fontId="18" fillId="0" borderId="0" xfId="0" applyFont="1" applyAlignment="1">
      <alignment horizontal="right" vertical="top"/>
    </xf>
    <xf numFmtId="164" fontId="18" fillId="0" borderId="0" xfId="0" applyFont="1" applyBorder="1" applyAlignment="1">
      <alignment horizontal="right" vertical="top"/>
    </xf>
    <xf numFmtId="164" fontId="18" fillId="0" borderId="2" xfId="0" applyFont="1" applyBorder="1" applyAlignment="1">
      <alignment horizontal="right" vertical="top"/>
    </xf>
    <xf numFmtId="164" fontId="18" fillId="4" borderId="2" xfId="0" applyFont="1" applyFill="1" applyBorder="1" applyAlignment="1">
      <alignment vertical="top"/>
    </xf>
    <xf numFmtId="164" fontId="18" fillId="0" borderId="2" xfId="0" applyFont="1" applyFill="1" applyBorder="1" applyAlignment="1">
      <alignment vertical="top"/>
    </xf>
    <xf numFmtId="164" fontId="18" fillId="0" borderId="2" xfId="0" applyFont="1" applyBorder="1" applyAlignment="1">
      <alignment vertical="top"/>
    </xf>
    <xf numFmtId="164" fontId="18" fillId="4" borderId="0" xfId="0" applyFont="1" applyFill="1" applyBorder="1" applyAlignment="1">
      <alignment vertical="top"/>
    </xf>
    <xf numFmtId="164" fontId="18" fillId="4" borderId="0" xfId="0" applyFont="1" applyFill="1" applyBorder="1" applyAlignment="1">
      <alignment horizontal="right" vertical="top"/>
    </xf>
    <xf numFmtId="164" fontId="10" fillId="0" borderId="0" xfId="0" applyFont="1" applyBorder="1" applyAlignment="1">
      <alignment horizontal="right" vertical="top"/>
    </xf>
    <xf numFmtId="169" fontId="11" fillId="0" borderId="0" xfId="6" applyFont="1" applyAlignment="1">
      <alignment vertical="top"/>
    </xf>
    <xf numFmtId="169" fontId="13" fillId="0" borderId="0" xfId="6" applyFont="1" applyAlignment="1">
      <alignment vertical="top"/>
    </xf>
    <xf numFmtId="169" fontId="10" fillId="0" borderId="0" xfId="6" applyFont="1" applyAlignment="1">
      <alignment horizontal="right" vertical="top"/>
    </xf>
    <xf numFmtId="169" fontId="10" fillId="0" borderId="0" xfId="6" applyFont="1" applyAlignment="1">
      <alignment vertical="top"/>
    </xf>
    <xf numFmtId="168" fontId="10" fillId="0" borderId="0" xfId="5" applyFont="1" applyAlignment="1">
      <alignment vertical="top"/>
    </xf>
    <xf numFmtId="164" fontId="19" fillId="0" borderId="0" xfId="0" applyFont="1" applyFill="1" applyAlignment="1">
      <alignment vertical="top"/>
    </xf>
    <xf numFmtId="164" fontId="7" fillId="0" borderId="0" xfId="0" applyFont="1" applyFill="1" applyAlignment="1">
      <alignment vertical="top"/>
    </xf>
    <xf numFmtId="164" fontId="6" fillId="0" borderId="0" xfId="0" applyFont="1" applyFill="1" applyAlignment="1">
      <alignment horizontal="right" vertical="top"/>
    </xf>
    <xf numFmtId="164" fontId="6" fillId="0" borderId="0" xfId="0" applyFont="1" applyFill="1" applyAlignment="1">
      <alignment vertical="top"/>
    </xf>
    <xf numFmtId="169" fontId="8" fillId="0" borderId="0" xfId="6" applyFont="1" applyFill="1" applyBorder="1" applyAlignment="1">
      <alignment vertical="top"/>
    </xf>
    <xf numFmtId="169" fontId="14" fillId="0" borderId="0" xfId="6" applyFont="1" applyFill="1" applyBorder="1" applyAlignment="1">
      <alignment vertical="top"/>
    </xf>
    <xf numFmtId="169" fontId="8" fillId="0" borderId="0" xfId="6" applyFont="1" applyFill="1" applyBorder="1" applyAlignment="1">
      <alignment horizontal="right" vertical="top"/>
    </xf>
    <xf numFmtId="169" fontId="6" fillId="0" borderId="0" xfId="6" applyFont="1" applyFill="1" applyBorder="1" applyAlignment="1">
      <alignment vertical="top"/>
    </xf>
    <xf numFmtId="169" fontId="6" fillId="0" borderId="0" xfId="6" applyFont="1" applyFill="1" applyBorder="1" applyAlignment="1">
      <alignment horizontal="right" vertical="top"/>
    </xf>
    <xf numFmtId="164" fontId="8" fillId="0" borderId="0" xfId="0" applyFont="1" applyFill="1" applyBorder="1" applyAlignment="1">
      <alignment vertical="top"/>
    </xf>
    <xf numFmtId="164" fontId="9" fillId="0" borderId="0" xfId="0" applyFont="1" applyFill="1" applyBorder="1" applyAlignment="1">
      <alignment vertical="top"/>
    </xf>
    <xf numFmtId="164" fontId="6" fillId="0" borderId="0" xfId="0" applyFont="1" applyFill="1" applyBorder="1" applyAlignment="1">
      <alignment horizontal="right" vertical="top"/>
    </xf>
    <xf numFmtId="164" fontId="6" fillId="0" borderId="0" xfId="0" applyFont="1" applyFill="1" applyBorder="1" applyAlignment="1">
      <alignment vertical="top"/>
    </xf>
    <xf numFmtId="164" fontId="4" fillId="0" borderId="0" xfId="0" applyFont="1" applyFill="1" applyAlignment="1">
      <alignment horizontal="right" vertical="top"/>
    </xf>
    <xf numFmtId="164" fontId="4" fillId="0" borderId="0" xfId="0" applyFont="1" applyFill="1" applyBorder="1" applyAlignment="1">
      <alignment vertical="top"/>
    </xf>
    <xf numFmtId="1" fontId="0" fillId="3" borderId="0" xfId="0" applyNumberFormat="1" applyFont="1" applyFill="1" applyAlignment="1">
      <alignment vertical="top"/>
    </xf>
    <xf numFmtId="1" fontId="8" fillId="0" borderId="0" xfId="0" applyNumberFormat="1" applyFont="1" applyFill="1" applyAlignment="1">
      <alignment vertical="top"/>
    </xf>
    <xf numFmtId="1" fontId="8" fillId="0" borderId="0" xfId="0" applyNumberFormat="1" applyFont="1" applyAlignment="1">
      <alignment vertical="top"/>
    </xf>
    <xf numFmtId="1" fontId="9" fillId="0" borderId="0" xfId="0" applyNumberFormat="1" applyFont="1" applyAlignment="1">
      <alignment vertical="top"/>
    </xf>
    <xf numFmtId="1" fontId="6" fillId="0" borderId="0" xfId="0" applyNumberFormat="1" applyFont="1" applyAlignment="1">
      <alignment horizontal="right" vertical="top"/>
    </xf>
    <xf numFmtId="1" fontId="6" fillId="0" borderId="0" xfId="0" applyNumberFormat="1" applyFont="1" applyAlignment="1">
      <alignment vertical="top"/>
    </xf>
    <xf numFmtId="1" fontId="18" fillId="0" borderId="0" xfId="0" applyNumberFormat="1" applyFont="1" applyAlignment="1">
      <alignment horizontal="right" vertical="top"/>
    </xf>
    <xf numFmtId="1" fontId="18" fillId="0" borderId="0" xfId="0" applyNumberFormat="1" applyFont="1" applyAlignment="1">
      <alignment vertical="top"/>
    </xf>
    <xf numFmtId="1" fontId="18" fillId="5" borderId="0" xfId="0" applyNumberFormat="1" applyFont="1" applyFill="1" applyAlignment="1">
      <alignment vertical="top"/>
    </xf>
    <xf numFmtId="169" fontId="10" fillId="0" borderId="0" xfId="6" applyFont="1" applyFill="1" applyAlignment="1">
      <alignment vertical="top"/>
    </xf>
    <xf numFmtId="169" fontId="11" fillId="0" borderId="0" xfId="6" applyFont="1" applyFill="1" applyAlignment="1">
      <alignment vertical="top"/>
    </xf>
    <xf numFmtId="169" fontId="13" fillId="0" borderId="0" xfId="6" applyFont="1" applyFill="1" applyAlignment="1">
      <alignment vertical="top"/>
    </xf>
    <xf numFmtId="169" fontId="10" fillId="0" borderId="0" xfId="6" applyFont="1" applyFill="1" applyAlignment="1">
      <alignment horizontal="right" vertical="top"/>
    </xf>
    <xf numFmtId="164" fontId="10" fillId="0" borderId="0" xfId="0" applyFont="1" applyFill="1" applyAlignment="1">
      <alignment vertical="top"/>
    </xf>
    <xf numFmtId="168" fontId="18" fillId="0" borderId="0" xfId="5" applyFont="1" applyFill="1" applyAlignment="1">
      <alignment horizontal="right" vertical="top"/>
    </xf>
    <xf numFmtId="168" fontId="18" fillId="0" borderId="0" xfId="5" applyFont="1" applyFill="1" applyAlignment="1">
      <alignment vertical="top"/>
    </xf>
    <xf numFmtId="168" fontId="18" fillId="0" borderId="0" xfId="5" applyFont="1" applyAlignment="1">
      <alignment horizontal="right" vertical="top"/>
    </xf>
    <xf numFmtId="168" fontId="18" fillId="0" borderId="0" xfId="5" applyFont="1" applyAlignment="1">
      <alignment vertical="top"/>
    </xf>
    <xf numFmtId="1" fontId="10" fillId="0" borderId="0" xfId="0" applyNumberFormat="1" applyFont="1" applyFill="1" applyAlignment="1">
      <alignment vertical="top"/>
    </xf>
    <xf numFmtId="164" fontId="8" fillId="0" borderId="3" xfId="0" applyFont="1" applyBorder="1" applyAlignment="1">
      <alignment vertical="top"/>
    </xf>
    <xf numFmtId="164" fontId="9" fillId="0" borderId="3" xfId="0" applyFont="1" applyBorder="1" applyAlignment="1">
      <alignment vertical="top"/>
    </xf>
    <xf numFmtId="164" fontId="18" fillId="0" borderId="3" xfId="0" applyFont="1" applyBorder="1" applyAlignment="1">
      <alignment horizontal="right" vertical="top"/>
    </xf>
    <xf numFmtId="164" fontId="18" fillId="4" borderId="3" xfId="0" applyFont="1" applyFill="1" applyBorder="1" applyAlignment="1">
      <alignment vertical="top"/>
    </xf>
    <xf numFmtId="164" fontId="18" fillId="0" borderId="3" xfId="0" applyFont="1" applyBorder="1" applyAlignment="1">
      <alignment vertical="top"/>
    </xf>
    <xf numFmtId="164" fontId="18" fillId="0" borderId="3" xfId="0" applyFont="1" applyFill="1" applyBorder="1" applyAlignment="1">
      <alignment vertical="top"/>
    </xf>
    <xf numFmtId="164" fontId="18" fillId="5" borderId="3" xfId="0" applyFont="1" applyFill="1" applyBorder="1" applyAlignment="1">
      <alignment vertical="top"/>
    </xf>
    <xf numFmtId="164" fontId="17" fillId="0" borderId="0" xfId="0" applyFont="1" applyFill="1">
      <alignment vertical="top"/>
    </xf>
    <xf numFmtId="164" fontId="15" fillId="0" borderId="0" xfId="0" applyFont="1" applyFill="1">
      <alignment vertical="top"/>
    </xf>
    <xf numFmtId="164" fontId="16" fillId="0" borderId="0" xfId="0" applyFont="1" applyFill="1">
      <alignment vertical="top"/>
    </xf>
    <xf numFmtId="164" fontId="0" fillId="3" borderId="0" xfId="0" applyFont="1" applyFill="1">
      <alignment vertical="top"/>
    </xf>
    <xf numFmtId="168" fontId="10" fillId="0" borderId="0" xfId="5" applyFont="1">
      <alignment vertical="top"/>
    </xf>
    <xf numFmtId="164" fontId="8" fillId="0" borderId="0" xfId="0" applyFont="1" applyFill="1" applyBorder="1" applyAlignment="1">
      <alignment horizontal="right" vertical="top"/>
    </xf>
    <xf numFmtId="164" fontId="4" fillId="6" borderId="0" xfId="0" applyFont="1" applyFill="1" applyAlignment="1">
      <alignment horizontal="right" vertical="top"/>
    </xf>
    <xf numFmtId="164" fontId="4" fillId="3" borderId="0" xfId="0" applyFont="1" applyFill="1" applyAlignment="1">
      <alignment vertical="top"/>
    </xf>
    <xf numFmtId="164" fontId="20" fillId="0" borderId="0" xfId="0" applyFont="1" applyFill="1" applyAlignment="1">
      <alignment vertical="top"/>
    </xf>
    <xf numFmtId="169" fontId="18" fillId="0" borderId="0" xfId="6" applyFont="1" applyFill="1" applyAlignment="1">
      <alignment horizontal="right" vertical="top"/>
    </xf>
    <xf numFmtId="169" fontId="18" fillId="0" borderId="0" xfId="6" applyFont="1" applyFill="1" applyAlignment="1">
      <alignment vertical="top"/>
    </xf>
    <xf numFmtId="169" fontId="18" fillId="5" borderId="0" xfId="6" applyFont="1" applyFill="1" applyAlignment="1">
      <alignment vertical="top"/>
    </xf>
    <xf numFmtId="168" fontId="11" fillId="0" borderId="0" xfId="5" applyFont="1" applyFill="1" applyAlignment="1">
      <alignment vertical="top"/>
    </xf>
    <xf numFmtId="164" fontId="15" fillId="0" borderId="0" xfId="0" applyFont="1" applyFill="1" applyAlignment="1">
      <alignment vertical="top"/>
    </xf>
    <xf numFmtId="164" fontId="8" fillId="0" borderId="0" xfId="3" applyFont="1">
      <alignment vertical="top"/>
    </xf>
    <xf numFmtId="164" fontId="8" fillId="0" borderId="0" xfId="3" applyFont="1" applyFill="1">
      <alignment vertical="top"/>
    </xf>
    <xf numFmtId="164" fontId="7" fillId="0" borderId="0" xfId="3" applyFont="1" applyFill="1">
      <alignment vertical="top"/>
    </xf>
    <xf numFmtId="164" fontId="6" fillId="0" borderId="0" xfId="3" applyFont="1" applyAlignment="1">
      <alignment horizontal="right" vertical="top"/>
    </xf>
    <xf numFmtId="164" fontId="6" fillId="0" borderId="0" xfId="3" applyFont="1">
      <alignment vertical="top"/>
    </xf>
    <xf numFmtId="164" fontId="7" fillId="0" borderId="0" xfId="3" applyFont="1">
      <alignment vertical="top"/>
    </xf>
    <xf numFmtId="164" fontId="6" fillId="0" borderId="0" xfId="3" applyFont="1" applyFill="1">
      <alignment vertical="top"/>
    </xf>
    <xf numFmtId="164" fontId="6" fillId="3" borderId="0" xfId="3" applyFont="1" applyFill="1">
      <alignment vertical="top"/>
    </xf>
    <xf numFmtId="164" fontId="15" fillId="0" borderId="0" xfId="3" applyFont="1">
      <alignment vertical="top"/>
    </xf>
    <xf numFmtId="164" fontId="16" fillId="0" borderId="0" xfId="3" applyFont="1">
      <alignment vertical="top"/>
    </xf>
    <xf numFmtId="164" fontId="17" fillId="0" borderId="0" xfId="3" applyFont="1" applyAlignment="1">
      <alignment horizontal="right" vertical="top"/>
    </xf>
    <xf numFmtId="164" fontId="17" fillId="0" borderId="0" xfId="3" applyFont="1">
      <alignment vertical="top"/>
    </xf>
    <xf numFmtId="164" fontId="28" fillId="0" borderId="0" xfId="0" applyFont="1" applyBorder="1">
      <alignment vertical="top"/>
    </xf>
    <xf numFmtId="168" fontId="29" fillId="0" borderId="0" xfId="5" applyFont="1" applyBorder="1" applyAlignment="1">
      <alignment horizontal="left" vertical="top"/>
    </xf>
    <xf numFmtId="168" fontId="30" fillId="0" borderId="0" xfId="5" applyFont="1" applyBorder="1" applyAlignment="1">
      <alignment horizontal="left" vertical="top"/>
    </xf>
    <xf numFmtId="168" fontId="30" fillId="0" borderId="0" xfId="5" applyFont="1" applyAlignment="1">
      <alignment horizontal="left" vertical="top"/>
    </xf>
    <xf numFmtId="164" fontId="28" fillId="0" borderId="0" xfId="0" applyFont="1">
      <alignment vertical="top"/>
    </xf>
    <xf numFmtId="164" fontId="30" fillId="0" borderId="0" xfId="3" applyFont="1">
      <alignment vertical="top"/>
    </xf>
    <xf numFmtId="164" fontId="28" fillId="0" borderId="0" xfId="3" applyFont="1">
      <alignment vertical="top"/>
    </xf>
    <xf numFmtId="168" fontId="29" fillId="0" borderId="4" xfId="5" applyFont="1" applyBorder="1" applyAlignment="1">
      <alignment horizontal="left" vertical="top"/>
    </xf>
    <xf numFmtId="164" fontId="29" fillId="0" borderId="4" xfId="3" applyFont="1" applyBorder="1">
      <alignment vertical="top"/>
    </xf>
    <xf numFmtId="168" fontId="23" fillId="0" borderId="4" xfId="5" applyFont="1" applyBorder="1" applyAlignment="1">
      <alignment horizontal="left" vertical="top"/>
    </xf>
    <xf numFmtId="164" fontId="23" fillId="0" borderId="4" xfId="3" applyFont="1" applyBorder="1">
      <alignment vertical="top"/>
    </xf>
    <xf numFmtId="164" fontId="23" fillId="0" borderId="0" xfId="3" applyFont="1" applyBorder="1">
      <alignment vertical="top"/>
    </xf>
    <xf numFmtId="164" fontId="23" fillId="0" borderId="0" xfId="3" applyFont="1" applyFill="1" applyBorder="1">
      <alignment vertical="top"/>
    </xf>
    <xf numFmtId="164" fontId="30" fillId="0" borderId="0" xfId="3" applyFont="1" applyBorder="1">
      <alignment vertical="top"/>
    </xf>
    <xf numFmtId="168" fontId="23" fillId="0" borderId="0" xfId="5" applyFont="1" applyBorder="1" applyAlignment="1">
      <alignment horizontal="left" vertical="top"/>
    </xf>
    <xf numFmtId="164" fontId="29" fillId="0" borderId="0" xfId="3" applyFont="1" applyBorder="1">
      <alignment vertical="top"/>
    </xf>
    <xf numFmtId="164" fontId="31" fillId="0" borderId="0" xfId="0" applyFont="1" applyBorder="1">
      <alignment vertical="top"/>
    </xf>
    <xf numFmtId="164" fontId="32" fillId="0" borderId="0" xfId="0" applyFont="1" applyBorder="1">
      <alignment vertical="top"/>
    </xf>
    <xf numFmtId="168" fontId="29" fillId="0" borderId="5" xfId="5" applyFont="1" applyBorder="1" applyAlignment="1">
      <alignment horizontal="left" vertical="top"/>
    </xf>
    <xf numFmtId="164" fontId="29" fillId="0" borderId="5" xfId="3" applyFont="1" applyBorder="1">
      <alignment vertical="top"/>
    </xf>
    <xf numFmtId="164" fontId="28" fillId="0" borderId="0" xfId="3" applyFont="1" applyBorder="1">
      <alignment vertical="top"/>
    </xf>
    <xf numFmtId="168" fontId="30" fillId="0" borderId="4" xfId="5" applyFont="1" applyBorder="1" applyAlignment="1">
      <alignment horizontal="left" vertical="top"/>
    </xf>
    <xf numFmtId="164" fontId="30" fillId="0" borderId="4" xfId="3" applyFont="1" applyBorder="1">
      <alignment vertical="top"/>
    </xf>
    <xf numFmtId="164" fontId="32" fillId="0" borderId="0" xfId="3" applyFont="1" applyBorder="1">
      <alignment vertical="top"/>
    </xf>
    <xf numFmtId="164" fontId="33" fillId="0" borderId="0" xfId="3" applyFont="1" applyBorder="1">
      <alignment vertical="top"/>
    </xf>
    <xf numFmtId="168" fontId="34" fillId="0" borderId="6" xfId="5" applyFont="1" applyBorder="1" applyAlignment="1">
      <alignment horizontal="left" vertical="top"/>
    </xf>
    <xf numFmtId="164" fontId="34" fillId="0" borderId="6" xfId="3" applyFont="1" applyBorder="1">
      <alignment vertical="top"/>
    </xf>
    <xf numFmtId="164" fontId="8" fillId="0" borderId="0" xfId="4" applyFont="1">
      <alignment vertical="top"/>
    </xf>
    <xf numFmtId="164" fontId="8" fillId="0" borderId="0" xfId="4" applyFont="1" applyFill="1">
      <alignment vertical="top"/>
    </xf>
    <xf numFmtId="164" fontId="7" fillId="0" borderId="0" xfId="4" applyFont="1" applyFill="1">
      <alignment vertical="top"/>
    </xf>
    <xf numFmtId="164" fontId="6" fillId="0" borderId="0" xfId="4" applyFont="1" applyAlignment="1">
      <alignment horizontal="right" vertical="top"/>
    </xf>
    <xf numFmtId="164" fontId="6" fillId="0" borderId="0" xfId="4" applyFont="1">
      <alignment vertical="top"/>
    </xf>
    <xf numFmtId="164" fontId="6" fillId="0" borderId="0" xfId="4" applyFont="1" applyBorder="1">
      <alignment vertical="top"/>
    </xf>
    <xf numFmtId="164" fontId="6" fillId="0" borderId="0" xfId="4" applyFont="1" applyFill="1">
      <alignment vertical="top"/>
    </xf>
    <xf numFmtId="164" fontId="6" fillId="7" borderId="0" xfId="4" applyFont="1" applyFill="1">
      <alignment vertical="top"/>
    </xf>
    <xf numFmtId="164" fontId="30" fillId="0" borderId="0" xfId="0" applyFont="1" applyFill="1" applyBorder="1" applyAlignment="1"/>
    <xf numFmtId="164" fontId="28" fillId="0" borderId="4" xfId="3" applyFont="1" applyBorder="1">
      <alignment vertical="top"/>
    </xf>
    <xf numFmtId="164" fontId="32" fillId="0" borderId="4" xfId="0" applyFont="1" applyBorder="1">
      <alignment vertical="top"/>
    </xf>
    <xf numFmtId="164" fontId="7" fillId="0" borderId="0" xfId="0" applyFont="1" applyAlignment="1">
      <alignment vertical="top"/>
    </xf>
    <xf numFmtId="164" fontId="35" fillId="0" borderId="0" xfId="3" applyFont="1">
      <alignment vertical="top"/>
    </xf>
    <xf numFmtId="164" fontId="36" fillId="0" borderId="0" xfId="3" applyFont="1">
      <alignment vertical="top"/>
    </xf>
    <xf numFmtId="167" fontId="37" fillId="0" borderId="0" xfId="7" applyNumberFormat="1" applyFont="1" applyFill="1">
      <alignment vertical="top"/>
    </xf>
    <xf numFmtId="167" fontId="37" fillId="0" borderId="0" xfId="7" applyNumberFormat="1" applyFont="1">
      <alignment vertical="top"/>
    </xf>
    <xf numFmtId="167" fontId="38" fillId="0" borderId="0" xfId="7" applyNumberFormat="1" applyFont="1">
      <alignment vertical="top"/>
    </xf>
    <xf numFmtId="167" fontId="39" fillId="0" borderId="0" xfId="7" applyNumberFormat="1" applyFont="1">
      <alignment vertical="top"/>
    </xf>
    <xf numFmtId="167" fontId="39" fillId="5" borderId="0" xfId="7" applyNumberFormat="1" applyFont="1" applyFill="1">
      <alignment vertical="top"/>
    </xf>
    <xf numFmtId="164" fontId="37" fillId="0" borderId="0" xfId="0" applyFont="1" applyAlignment="1">
      <alignment vertical="top"/>
    </xf>
    <xf numFmtId="164" fontId="37" fillId="0" borderId="0" xfId="0" applyFont="1" applyFill="1" applyAlignment="1">
      <alignment vertical="top"/>
    </xf>
    <xf numFmtId="164" fontId="39" fillId="0" borderId="0" xfId="0" applyFont="1" applyAlignment="1">
      <alignment horizontal="right" vertical="top"/>
    </xf>
    <xf numFmtId="164" fontId="39" fillId="0" borderId="0" xfId="0" applyFont="1" applyAlignment="1">
      <alignment vertical="top"/>
    </xf>
    <xf numFmtId="164" fontId="6" fillId="0" borderId="0" xfId="0" applyFont="1" applyBorder="1" applyAlignment="1">
      <alignment vertical="top"/>
    </xf>
    <xf numFmtId="164" fontId="10" fillId="7" borderId="0" xfId="1" applyFont="1" applyFill="1" applyAlignment="1">
      <alignment horizontal="right" vertical="top"/>
    </xf>
    <xf numFmtId="164" fontId="27" fillId="0" borderId="0" xfId="3" applyFont="1">
      <alignment vertical="top"/>
    </xf>
    <xf numFmtId="168" fontId="29" fillId="0" borderId="0" xfId="5" applyFont="1" applyAlignment="1">
      <alignment horizontal="left" vertical="top"/>
    </xf>
    <xf numFmtId="164" fontId="29" fillId="0" borderId="0" xfId="3" applyFont="1">
      <alignment vertical="top"/>
    </xf>
    <xf numFmtId="164" fontId="38" fillId="0" borderId="0" xfId="0" applyFont="1" applyAlignment="1">
      <alignment vertical="top"/>
    </xf>
    <xf numFmtId="168" fontId="29" fillId="0" borderId="0" xfId="5" applyFont="1" applyFill="1" applyBorder="1" applyAlignment="1">
      <alignment horizontal="left" vertical="top"/>
    </xf>
    <xf numFmtId="168" fontId="30" fillId="0" borderId="0" xfId="5" applyFont="1" applyFill="1" applyBorder="1" applyAlignment="1">
      <alignment horizontal="left" vertical="top"/>
    </xf>
    <xf numFmtId="168" fontId="30" fillId="0" borderId="0" xfId="5" applyFont="1" applyFill="1" applyAlignment="1">
      <alignment horizontal="left" vertical="top"/>
    </xf>
    <xf numFmtId="164" fontId="30" fillId="0" borderId="0" xfId="3" applyFont="1" applyFill="1">
      <alignment vertical="top"/>
    </xf>
    <xf numFmtId="164" fontId="28" fillId="0" borderId="0" xfId="3" applyFont="1" applyFill="1">
      <alignment vertical="top"/>
    </xf>
    <xf numFmtId="164" fontId="24" fillId="0" borderId="0" xfId="3" applyFont="1" applyFill="1" applyBorder="1">
      <alignment vertical="top"/>
    </xf>
    <xf numFmtId="164" fontId="3" fillId="0" borderId="0" xfId="3" applyFont="1">
      <alignment vertical="top"/>
    </xf>
    <xf numFmtId="164" fontId="23" fillId="0" borderId="5" xfId="3" applyFont="1" applyFill="1" applyBorder="1">
      <alignment vertical="top"/>
    </xf>
    <xf numFmtId="164" fontId="2" fillId="0" borderId="0" xfId="0" applyFont="1" applyBorder="1">
      <alignment vertical="top"/>
    </xf>
    <xf numFmtId="164" fontId="2" fillId="0" borderId="0" xfId="0" applyFont="1" applyFill="1" applyBorder="1">
      <alignment vertical="top"/>
    </xf>
    <xf numFmtId="164" fontId="2" fillId="0" borderId="0" xfId="3" applyFont="1" applyFill="1">
      <alignment vertical="top"/>
    </xf>
    <xf numFmtId="168" fontId="24" fillId="0" borderId="0" xfId="5" applyFont="1" applyBorder="1" applyAlignment="1">
      <alignment horizontal="left" vertical="top"/>
    </xf>
    <xf numFmtId="164" fontId="24" fillId="0" borderId="0" xfId="3" applyFont="1" applyBorder="1">
      <alignment vertical="top"/>
    </xf>
    <xf numFmtId="164" fontId="26" fillId="0" borderId="0" xfId="3" applyFont="1" applyFill="1" applyBorder="1">
      <alignment vertical="top"/>
    </xf>
    <xf numFmtId="164" fontId="2" fillId="0" borderId="4" xfId="3" applyFont="1" applyBorder="1">
      <alignment vertical="top"/>
    </xf>
    <xf numFmtId="164" fontId="4" fillId="0" borderId="0" xfId="9" applyFont="1" applyAlignment="1" applyProtection="1">
      <alignment vertical="center"/>
      <protection hidden="1"/>
    </xf>
    <xf numFmtId="170" fontId="40" fillId="9" borderId="7" xfId="9" applyNumberFormat="1" applyFont="1" applyFill="1" applyBorder="1" applyAlignment="1" applyProtection="1">
      <alignment horizontal="left" vertical="center"/>
      <protection hidden="1"/>
    </xf>
    <xf numFmtId="164" fontId="4" fillId="0" borderId="0" xfId="9" applyFont="1" applyFill="1" applyBorder="1" applyAlignment="1" applyProtection="1">
      <alignment vertical="center"/>
      <protection hidden="1"/>
    </xf>
    <xf numFmtId="170" fontId="40" fillId="0" borderId="0" xfId="9" applyNumberFormat="1" applyFont="1" applyFill="1" applyBorder="1" applyAlignment="1" applyProtection="1">
      <alignment horizontal="left" vertical="center"/>
      <protection hidden="1"/>
    </xf>
    <xf numFmtId="170" fontId="4" fillId="0" borderId="0" xfId="9" applyNumberFormat="1" applyFont="1" applyAlignment="1" applyProtection="1">
      <alignment vertical="center"/>
      <protection hidden="1"/>
    </xf>
    <xf numFmtId="170" fontId="8" fillId="0" borderId="0" xfId="9" applyNumberFormat="1" applyFont="1" applyBorder="1" applyAlignment="1" applyProtection="1">
      <alignment vertical="center"/>
      <protection hidden="1"/>
    </xf>
    <xf numFmtId="170" fontId="4" fillId="0" borderId="0" xfId="9" applyNumberFormat="1" applyFont="1" applyBorder="1" applyAlignment="1" applyProtection="1">
      <alignment vertical="center"/>
      <protection hidden="1"/>
    </xf>
    <xf numFmtId="170" fontId="4" fillId="0" borderId="0" xfId="9" applyNumberFormat="1" applyFont="1" applyFill="1" applyAlignment="1" applyProtection="1">
      <alignment vertical="center"/>
      <protection hidden="1"/>
    </xf>
    <xf numFmtId="170" fontId="8" fillId="0" borderId="8" xfId="9" applyNumberFormat="1" applyFont="1" applyFill="1" applyBorder="1" applyAlignment="1" applyProtection="1">
      <alignment vertical="center"/>
      <protection hidden="1"/>
    </xf>
    <xf numFmtId="170" fontId="4" fillId="0" borderId="4" xfId="9" applyNumberFormat="1" applyFont="1" applyFill="1" applyBorder="1" applyAlignment="1" applyProtection="1">
      <alignment vertical="center"/>
      <protection hidden="1"/>
    </xf>
    <xf numFmtId="170" fontId="10" fillId="0" borderId="4" xfId="9" applyNumberFormat="1" applyFont="1" applyFill="1" applyBorder="1" applyAlignment="1" applyProtection="1">
      <alignment vertical="center"/>
      <protection hidden="1"/>
    </xf>
    <xf numFmtId="170" fontId="4" fillId="0" borderId="9" xfId="9" applyNumberFormat="1" applyFont="1" applyFill="1" applyBorder="1" applyAlignment="1" applyProtection="1">
      <alignment vertical="center"/>
      <protection hidden="1"/>
    </xf>
    <xf numFmtId="170" fontId="4" fillId="0" borderId="10" xfId="9" applyNumberFormat="1" applyFont="1" applyFill="1" applyBorder="1" applyAlignment="1" applyProtection="1">
      <alignment vertical="center"/>
      <protection hidden="1"/>
    </xf>
    <xf numFmtId="170" fontId="4" fillId="0" borderId="11" xfId="9" applyNumberFormat="1" applyFont="1" applyFill="1" applyBorder="1" applyAlignment="1" applyProtection="1">
      <alignment vertical="center"/>
      <protection hidden="1"/>
    </xf>
    <xf numFmtId="170" fontId="8" fillId="0" borderId="10" xfId="9" applyNumberFormat="1" applyFont="1" applyFill="1" applyBorder="1" applyAlignment="1" applyProtection="1">
      <alignment vertical="center"/>
      <protection hidden="1"/>
    </xf>
    <xf numFmtId="0" fontId="41" fillId="0" borderId="0" xfId="9" applyNumberFormat="1" applyFont="1" applyFill="1" applyBorder="1" applyAlignment="1" applyProtection="1">
      <alignment horizontal="left" vertical="center"/>
      <protection hidden="1"/>
    </xf>
    <xf numFmtId="170" fontId="4" fillId="0" borderId="0" xfId="9" applyNumberFormat="1" applyFont="1" applyFill="1" applyBorder="1" applyAlignment="1" applyProtection="1">
      <alignment vertical="center"/>
      <protection hidden="1"/>
    </xf>
    <xf numFmtId="170" fontId="42" fillId="0" borderId="10" xfId="9" applyNumberFormat="1" applyFont="1" applyFill="1" applyBorder="1" applyAlignment="1" applyProtection="1">
      <alignment vertical="center"/>
      <protection hidden="1"/>
    </xf>
    <xf numFmtId="170" fontId="42" fillId="0" borderId="11" xfId="9" applyNumberFormat="1" applyFont="1" applyFill="1" applyBorder="1" applyAlignment="1" applyProtection="1">
      <alignment vertical="center"/>
      <protection hidden="1"/>
    </xf>
    <xf numFmtId="164" fontId="43" fillId="0" borderId="10" xfId="11" applyFont="1" applyFill="1" applyBorder="1">
      <alignment vertical="top"/>
    </xf>
    <xf numFmtId="0" fontId="44" fillId="0" borderId="0" xfId="13" quotePrefix="1" applyNumberFormat="1" applyFill="1" applyBorder="1" applyAlignment="1" applyProtection="1">
      <alignment horizontal="left" vertical="center"/>
      <protection hidden="1"/>
    </xf>
    <xf numFmtId="170" fontId="4" fillId="0" borderId="11" xfId="9" applyNumberFormat="1" applyFont="1" applyFill="1" applyBorder="1" applyAlignment="1" applyProtection="1">
      <alignment horizontal="left" vertical="center"/>
      <protection hidden="1"/>
    </xf>
    <xf numFmtId="0" fontId="41" fillId="0" borderId="0" xfId="9" applyNumberFormat="1" applyFont="1" applyFill="1" applyBorder="1" applyAlignment="1" applyProtection="1">
      <alignment horizontal="left" vertical="center" wrapText="1"/>
      <protection locked="0"/>
    </xf>
    <xf numFmtId="164" fontId="41" fillId="0" borderId="0" xfId="11" quotePrefix="1" applyFont="1" applyFill="1" applyBorder="1" applyAlignment="1" applyProtection="1">
      <alignment horizontal="left" vertical="center"/>
      <protection locked="0"/>
    </xf>
    <xf numFmtId="171" fontId="41" fillId="0" borderId="0" xfId="11" applyNumberFormat="1" applyFont="1" applyFill="1" applyBorder="1" applyAlignment="1" applyProtection="1">
      <alignment horizontal="left" vertical="center"/>
      <protection locked="0"/>
    </xf>
    <xf numFmtId="0" fontId="41" fillId="0" borderId="0" xfId="9" applyNumberFormat="1" applyFont="1" applyFill="1" applyBorder="1" applyAlignment="1" applyProtection="1">
      <alignment horizontal="left" vertical="center"/>
      <protection locked="0"/>
    </xf>
    <xf numFmtId="170" fontId="4" fillId="0" borderId="11" xfId="9" applyNumberFormat="1" applyFont="1" applyBorder="1" applyAlignment="1" applyProtection="1">
      <alignment vertical="center"/>
      <protection hidden="1"/>
    </xf>
    <xf numFmtId="170" fontId="8" fillId="0" borderId="12" xfId="9" applyNumberFormat="1" applyFont="1" applyFill="1" applyBorder="1" applyAlignment="1" applyProtection="1">
      <alignment vertical="center"/>
      <protection hidden="1"/>
    </xf>
    <xf numFmtId="0" fontId="17" fillId="0" borderId="13" xfId="9" applyNumberFormat="1" applyFont="1" applyFill="1" applyBorder="1" applyAlignment="1" applyProtection="1">
      <alignment horizontal="left" vertical="center"/>
      <protection locked="0"/>
    </xf>
    <xf numFmtId="170" fontId="4" fillId="0" borderId="13" xfId="9" applyNumberFormat="1" applyFont="1" applyFill="1" applyBorder="1" applyAlignment="1" applyProtection="1">
      <alignment vertical="center"/>
      <protection hidden="1"/>
    </xf>
    <xf numFmtId="170" fontId="4" fillId="0" borderId="14" xfId="9" applyNumberFormat="1" applyFont="1" applyFill="1" applyBorder="1" applyAlignment="1" applyProtection="1">
      <alignment vertical="center"/>
      <protection hidden="1"/>
    </xf>
    <xf numFmtId="164" fontId="43" fillId="0" borderId="12" xfId="11" applyFont="1" applyFill="1" applyBorder="1">
      <alignment vertical="top"/>
    </xf>
    <xf numFmtId="170" fontId="4" fillId="0" borderId="14" xfId="9" applyNumberFormat="1" applyFont="1" applyBorder="1" applyAlignment="1" applyProtection="1">
      <alignment vertical="center"/>
      <protection hidden="1"/>
    </xf>
    <xf numFmtId="0" fontId="17" fillId="0" borderId="4" xfId="9" applyNumberFormat="1" applyFont="1" applyFill="1" applyBorder="1" applyAlignment="1" applyProtection="1">
      <alignment horizontal="left" vertical="center"/>
      <protection locked="0"/>
    </xf>
    <xf numFmtId="0" fontId="8" fillId="0" borderId="0" xfId="9" applyNumberFormat="1" applyFont="1" applyFill="1" applyBorder="1" applyAlignment="1" applyProtection="1">
      <alignment horizontal="left" vertical="center"/>
      <protection locked="0"/>
    </xf>
    <xf numFmtId="172" fontId="4" fillId="8" borderId="0" xfId="11" applyNumberFormat="1" applyFont="1" applyFill="1" applyBorder="1">
      <alignment vertical="top"/>
    </xf>
    <xf numFmtId="173" fontId="4" fillId="10" borderId="0" xfId="11" applyNumberFormat="1" applyFont="1" applyFill="1" applyBorder="1">
      <alignment vertical="top"/>
    </xf>
    <xf numFmtId="173" fontId="45" fillId="0" borderId="0" xfId="11" applyNumberFormat="1" applyFont="1" applyFill="1" applyBorder="1">
      <alignment vertical="top"/>
    </xf>
    <xf numFmtId="173" fontId="39" fillId="0" borderId="0" xfId="11" applyNumberFormat="1" applyFont="1" applyFill="1" applyBorder="1">
      <alignment vertical="top"/>
    </xf>
    <xf numFmtId="173" fontId="4" fillId="11" borderId="0" xfId="11" applyNumberFormat="1" applyFont="1" applyFill="1" applyBorder="1">
      <alignment vertical="top"/>
    </xf>
    <xf numFmtId="173" fontId="4" fillId="12" borderId="0" xfId="11" applyNumberFormat="1" applyFont="1" applyFill="1" applyBorder="1">
      <alignment vertical="top"/>
    </xf>
    <xf numFmtId="170" fontId="8" fillId="0" borderId="0" xfId="9" applyNumberFormat="1" applyFont="1" applyAlignment="1" applyProtection="1">
      <alignment vertical="center"/>
      <protection hidden="1"/>
    </xf>
    <xf numFmtId="164" fontId="4" fillId="0" borderId="0" xfId="9" applyAlignment="1">
      <alignment vertical="top"/>
    </xf>
    <xf numFmtId="164" fontId="4" fillId="13" borderId="0" xfId="0" applyFont="1" applyFill="1" applyAlignment="1">
      <alignment vertical="top"/>
    </xf>
    <xf numFmtId="165" fontId="8" fillId="0" borderId="0" xfId="7" applyFont="1" applyFill="1">
      <alignment vertical="top"/>
    </xf>
    <xf numFmtId="165" fontId="7" fillId="0" borderId="0" xfId="7" applyFont="1" applyFill="1">
      <alignment vertical="top"/>
    </xf>
    <xf numFmtId="165" fontId="4" fillId="0" borderId="0" xfId="7" applyFont="1" applyFill="1">
      <alignment vertical="top"/>
    </xf>
    <xf numFmtId="165" fontId="4" fillId="0" borderId="0" xfId="7" applyFont="1" applyFill="1" applyBorder="1">
      <alignment vertical="top"/>
    </xf>
    <xf numFmtId="165" fontId="4" fillId="13" borderId="0" xfId="7" applyFont="1" applyFill="1">
      <alignment vertical="top"/>
    </xf>
    <xf numFmtId="164" fontId="8" fillId="0" borderId="0" xfId="11" applyFont="1" applyFill="1" applyBorder="1">
      <alignment vertical="top"/>
    </xf>
    <xf numFmtId="164" fontId="7" fillId="0" borderId="0" xfId="11" applyFont="1" applyFill="1" applyBorder="1">
      <alignment vertical="top"/>
    </xf>
    <xf numFmtId="164" fontId="8" fillId="0" borderId="0" xfId="11" applyFont="1" applyFill="1" applyBorder="1" applyAlignment="1">
      <alignment horizontal="right" vertical="top"/>
    </xf>
    <xf numFmtId="164" fontId="4" fillId="0" borderId="0" xfId="11" applyFont="1" applyFill="1" applyBorder="1">
      <alignment vertical="top"/>
    </xf>
    <xf numFmtId="164" fontId="4" fillId="0" borderId="0" xfId="11" applyFont="1" applyFill="1" applyBorder="1" applyAlignment="1">
      <alignment horizontal="left" vertical="top"/>
    </xf>
    <xf numFmtId="164" fontId="1" fillId="0" borderId="0" xfId="0" applyFont="1" applyBorder="1">
      <alignment vertical="top"/>
    </xf>
    <xf numFmtId="164" fontId="36" fillId="0" borderId="0" xfId="0" applyFont="1">
      <alignment vertical="top"/>
    </xf>
    <xf numFmtId="164" fontId="30" fillId="11" borderId="0" xfId="3" applyFont="1" applyFill="1">
      <alignment vertical="top"/>
    </xf>
    <xf numFmtId="168" fontId="24" fillId="0" borderId="0" xfId="5" applyFont="1" applyAlignment="1">
      <alignment horizontal="left" vertical="top"/>
    </xf>
    <xf numFmtId="164" fontId="29" fillId="0" borderId="0" xfId="3" applyFont="1" applyFill="1">
      <alignment vertical="top"/>
    </xf>
    <xf numFmtId="164" fontId="28" fillId="11" borderId="0" xfId="3" applyFont="1" applyFill="1">
      <alignment vertical="top"/>
    </xf>
    <xf numFmtId="164" fontId="28" fillId="11" borderId="0" xfId="0" applyFont="1" applyFill="1" applyBorder="1">
      <alignment vertical="top"/>
    </xf>
    <xf numFmtId="168" fontId="29" fillId="11" borderId="0" xfId="5" applyFont="1" applyFill="1" applyBorder="1" applyAlignment="1">
      <alignment horizontal="left" vertical="top"/>
    </xf>
    <xf numFmtId="168" fontId="30" fillId="11" borderId="0" xfId="5" applyFont="1" applyFill="1" applyBorder="1" applyAlignment="1">
      <alignment horizontal="left" vertical="top"/>
    </xf>
    <xf numFmtId="168" fontId="30" fillId="11" borderId="0" xfId="5" applyFont="1" applyFill="1" applyAlignment="1">
      <alignment horizontal="left" vertical="top"/>
    </xf>
    <xf numFmtId="164" fontId="18" fillId="11" borderId="0" xfId="0" applyFont="1" applyFill="1" applyAlignment="1">
      <alignment vertical="top"/>
    </xf>
    <xf numFmtId="164" fontId="32" fillId="0" borderId="4" xfId="0" applyFont="1" applyFill="1" applyBorder="1">
      <alignment vertical="top"/>
    </xf>
    <xf numFmtId="164" fontId="0" fillId="11" borderId="0" xfId="0" applyFill="1" applyAlignment="1">
      <alignment vertical="top"/>
    </xf>
    <xf numFmtId="164" fontId="28" fillId="11" borderId="0" xfId="0" applyFont="1" applyFill="1">
      <alignment vertical="top"/>
    </xf>
    <xf numFmtId="166" fontId="30" fillId="0" borderId="0" xfId="8" applyFont="1" applyAlignment="1">
      <alignment horizontal="left" vertical="top"/>
    </xf>
    <xf numFmtId="164" fontId="10" fillId="0" borderId="0" xfId="0" applyFont="1" applyAlignment="1">
      <alignment vertical="top"/>
    </xf>
    <xf numFmtId="166" fontId="4" fillId="8" borderId="0" xfId="8" applyFont="1" applyFill="1" applyAlignment="1">
      <alignment vertical="top"/>
    </xf>
    <xf numFmtId="166" fontId="8" fillId="0" borderId="0" xfId="8" applyFont="1" applyAlignment="1">
      <alignment vertical="top"/>
    </xf>
    <xf numFmtId="166" fontId="8" fillId="0" borderId="0" xfId="8" applyFont="1" applyFill="1" applyAlignment="1">
      <alignment vertical="top"/>
    </xf>
    <xf numFmtId="166" fontId="9" fillId="0" borderId="0" xfId="8" applyFont="1" applyFill="1" applyAlignment="1">
      <alignment vertical="top"/>
    </xf>
    <xf numFmtId="166" fontId="18" fillId="0" borderId="0" xfId="8" applyFont="1" applyAlignment="1">
      <alignment horizontal="right" vertical="top"/>
    </xf>
    <xf numFmtId="166" fontId="4" fillId="0" borderId="0" xfId="8" applyFont="1" applyAlignment="1">
      <alignment vertical="top"/>
    </xf>
    <xf numFmtId="166" fontId="18" fillId="8" borderId="0" xfId="8" applyFont="1" applyFill="1" applyAlignment="1">
      <alignment vertical="top"/>
    </xf>
    <xf numFmtId="166" fontId="18" fillId="0" borderId="0" xfId="8" applyFont="1" applyFill="1" applyAlignment="1">
      <alignment vertical="top"/>
    </xf>
    <xf numFmtId="164" fontId="38" fillId="0" borderId="0" xfId="0" applyFont="1" applyFill="1" applyAlignment="1">
      <alignment vertical="top"/>
    </xf>
    <xf numFmtId="164" fontId="39" fillId="0" borderId="0" xfId="3" applyFont="1">
      <alignment vertical="top"/>
    </xf>
    <xf numFmtId="164" fontId="26" fillId="0" borderId="0" xfId="3" applyFont="1">
      <alignment vertical="top"/>
    </xf>
    <xf numFmtId="164" fontId="8" fillId="0" borderId="0" xfId="11" applyFont="1">
      <alignment vertical="top"/>
    </xf>
    <xf numFmtId="164" fontId="8" fillId="0" borderId="0" xfId="11" applyFont="1" applyFill="1">
      <alignment vertical="top"/>
    </xf>
    <xf numFmtId="164" fontId="7" fillId="0" borderId="0" xfId="11" applyFont="1" applyFill="1">
      <alignment vertical="top"/>
    </xf>
    <xf numFmtId="164" fontId="4" fillId="0" borderId="0" xfId="11" applyFont="1" applyAlignment="1">
      <alignment horizontal="right" vertical="top"/>
    </xf>
    <xf numFmtId="164" fontId="4" fillId="0" borderId="0" xfId="11" applyFont="1">
      <alignment vertical="top"/>
    </xf>
    <xf numFmtId="164" fontId="46" fillId="0" borderId="0" xfId="11" applyFont="1" applyFill="1">
      <alignment vertical="top"/>
    </xf>
    <xf numFmtId="164" fontId="47" fillId="0" borderId="0" xfId="11" applyFont="1" applyFill="1">
      <alignment vertical="top"/>
    </xf>
    <xf numFmtId="164" fontId="45" fillId="0" borderId="0" xfId="11" applyFont="1" applyFill="1" applyAlignment="1">
      <alignment horizontal="right" vertical="top"/>
    </xf>
    <xf numFmtId="164" fontId="4" fillId="0" borderId="0" xfId="11" applyFont="1" applyFill="1">
      <alignment vertical="top"/>
    </xf>
    <xf numFmtId="164" fontId="45" fillId="0" borderId="0" xfId="11" applyFont="1" applyFill="1" applyBorder="1">
      <alignment vertical="top"/>
    </xf>
    <xf numFmtId="164" fontId="15" fillId="0" borderId="0" xfId="11" applyFont="1">
      <alignment vertical="top"/>
    </xf>
    <xf numFmtId="164" fontId="16" fillId="0" borderId="0" xfId="11" applyFont="1">
      <alignment vertical="top"/>
    </xf>
    <xf numFmtId="164" fontId="17" fillId="0" borderId="0" xfId="11" applyFont="1" applyAlignment="1">
      <alignment horizontal="right" vertical="top"/>
    </xf>
    <xf numFmtId="164" fontId="17" fillId="0" borderId="0" xfId="11" applyFont="1">
      <alignment vertical="top"/>
    </xf>
    <xf numFmtId="164" fontId="17" fillId="0" borderId="0" xfId="11" applyFont="1" applyFill="1" applyBorder="1">
      <alignment vertical="top"/>
    </xf>
    <xf numFmtId="164" fontId="4" fillId="0" borderId="0" xfId="11" applyFont="1" applyFill="1" applyAlignment="1">
      <alignment horizontal="right" vertical="top"/>
    </xf>
    <xf numFmtId="164" fontId="4" fillId="8" borderId="0" xfId="11" applyFont="1" applyFill="1">
      <alignment vertical="top"/>
    </xf>
    <xf numFmtId="164" fontId="8" fillId="11" borderId="0" xfId="11" applyFont="1" applyFill="1">
      <alignment vertical="top"/>
    </xf>
    <xf numFmtId="164" fontId="7" fillId="11" borderId="0" xfId="11" applyFont="1" applyFill="1">
      <alignment vertical="top"/>
    </xf>
    <xf numFmtId="164" fontId="4" fillId="11" borderId="0" xfId="11" applyFont="1" applyFill="1" applyAlignment="1">
      <alignment horizontal="right" vertical="top"/>
    </xf>
    <xf numFmtId="164" fontId="4" fillId="11" borderId="0" xfId="11" applyFont="1" applyFill="1">
      <alignment vertical="top"/>
    </xf>
    <xf numFmtId="164" fontId="45" fillId="0" borderId="0" xfId="11" applyFont="1" applyFill="1">
      <alignment vertical="top"/>
    </xf>
    <xf numFmtId="164" fontId="8" fillId="0" borderId="2" xfId="11" applyFont="1" applyFill="1" applyBorder="1">
      <alignment vertical="top"/>
    </xf>
    <xf numFmtId="164" fontId="7" fillId="0" borderId="2" xfId="11" applyFont="1" applyFill="1" applyBorder="1">
      <alignment vertical="top"/>
    </xf>
    <xf numFmtId="164" fontId="4" fillId="0" borderId="2" xfId="11" applyFont="1" applyFill="1" applyBorder="1" applyAlignment="1">
      <alignment horizontal="right" vertical="top"/>
    </xf>
    <xf numFmtId="164" fontId="4" fillId="0" borderId="2" xfId="11" applyFont="1" applyFill="1" applyBorder="1">
      <alignment vertical="top"/>
    </xf>
    <xf numFmtId="164" fontId="8" fillId="0" borderId="0" xfId="11" applyFont="1" applyBorder="1">
      <alignment vertical="top"/>
    </xf>
    <xf numFmtId="164" fontId="7" fillId="0" borderId="0" xfId="11" applyFont="1" applyBorder="1">
      <alignment vertical="top"/>
    </xf>
    <xf numFmtId="164" fontId="4" fillId="0" borderId="0" xfId="11" applyFont="1" applyBorder="1" applyAlignment="1">
      <alignment horizontal="right" vertical="top"/>
    </xf>
    <xf numFmtId="164" fontId="4" fillId="0" borderId="0" xfId="11" applyFont="1" applyBorder="1">
      <alignment vertical="top"/>
    </xf>
    <xf numFmtId="164" fontId="4" fillId="11" borderId="0" xfId="11" applyFont="1" applyFill="1" applyBorder="1">
      <alignment vertical="top"/>
    </xf>
    <xf numFmtId="164" fontId="8" fillId="0" borderId="3" xfId="11" applyFont="1" applyBorder="1">
      <alignment vertical="top"/>
    </xf>
    <xf numFmtId="164" fontId="7" fillId="0" borderId="3" xfId="11" applyFont="1" applyBorder="1">
      <alignment vertical="top"/>
    </xf>
    <xf numFmtId="164" fontId="4" fillId="0" borderId="3" xfId="11" applyFont="1" applyBorder="1" applyAlignment="1">
      <alignment horizontal="right" vertical="top"/>
    </xf>
    <xf numFmtId="164" fontId="4" fillId="0" borderId="3" xfId="11" applyFont="1" applyFill="1" applyBorder="1">
      <alignment vertical="top"/>
    </xf>
    <xf numFmtId="164" fontId="4" fillId="0" borderId="3" xfId="11" applyFont="1" applyBorder="1">
      <alignment vertical="top"/>
    </xf>
    <xf numFmtId="164" fontId="4" fillId="5" borderId="3" xfId="11" applyFont="1" applyFill="1" applyBorder="1">
      <alignment vertical="top"/>
    </xf>
    <xf numFmtId="166" fontId="8" fillId="0" borderId="0" xfId="8" applyFont="1">
      <alignment vertical="top"/>
    </xf>
    <xf numFmtId="166" fontId="8" fillId="0" borderId="0" xfId="8" applyFont="1" applyFill="1">
      <alignment vertical="top"/>
    </xf>
    <xf numFmtId="166" fontId="7" fillId="0" borderId="0" xfId="8" applyFont="1" applyFill="1">
      <alignment vertical="top"/>
    </xf>
    <xf numFmtId="166" fontId="4" fillId="0" borderId="0" xfId="8" applyFont="1">
      <alignment vertical="top"/>
    </xf>
    <xf numFmtId="166" fontId="4" fillId="0" borderId="0" xfId="8" applyFont="1" applyFill="1" applyBorder="1">
      <alignment vertical="top"/>
    </xf>
    <xf numFmtId="164" fontId="15" fillId="0" borderId="3" xfId="11" applyFont="1" applyBorder="1">
      <alignment vertical="top"/>
    </xf>
    <xf numFmtId="164" fontId="16" fillId="0" borderId="3" xfId="11" applyFont="1" applyBorder="1">
      <alignment vertical="top"/>
    </xf>
    <xf numFmtId="164" fontId="17" fillId="0" borderId="3" xfId="11" applyFont="1" applyBorder="1" applyAlignment="1">
      <alignment horizontal="right" vertical="top"/>
    </xf>
    <xf numFmtId="164" fontId="17" fillId="0" borderId="3" xfId="11" applyFont="1" applyFill="1" applyBorder="1">
      <alignment vertical="top"/>
    </xf>
    <xf numFmtId="164" fontId="17" fillId="0" borderId="3" xfId="11" applyFont="1" applyBorder="1">
      <alignment vertical="top"/>
    </xf>
    <xf numFmtId="164" fontId="17" fillId="5" borderId="3" xfId="11" applyFont="1" applyFill="1" applyBorder="1">
      <alignment vertical="top"/>
    </xf>
    <xf numFmtId="164" fontId="18" fillId="8" borderId="0" xfId="0" applyFont="1" applyFill="1" applyAlignment="1">
      <alignment vertical="top"/>
    </xf>
    <xf numFmtId="164" fontId="10" fillId="0" borderId="0" xfId="11" applyFont="1">
      <alignment vertical="top"/>
    </xf>
    <xf numFmtId="164" fontId="39" fillId="0" borderId="0" xfId="11" applyFont="1" applyFill="1">
      <alignment vertical="top"/>
    </xf>
    <xf numFmtId="165" fontId="10" fillId="0" borderId="0" xfId="7" applyFont="1" applyFill="1">
      <alignment vertical="top"/>
    </xf>
    <xf numFmtId="164" fontId="10" fillId="0" borderId="0" xfId="11" applyFont="1" applyFill="1">
      <alignment vertical="top"/>
    </xf>
    <xf numFmtId="164" fontId="4" fillId="0" borderId="2" xfId="11" applyFont="1" applyFill="1" applyBorder="1" applyAlignment="1">
      <alignment vertical="top" wrapText="1"/>
    </xf>
    <xf numFmtId="164" fontId="4" fillId="8" borderId="0" xfId="0" applyFont="1" applyFill="1" applyAlignment="1">
      <alignment vertical="top"/>
    </xf>
    <xf numFmtId="164" fontId="10" fillId="0" borderId="2" xfId="11" applyFont="1" applyFill="1" applyBorder="1">
      <alignment vertical="top"/>
    </xf>
    <xf numFmtId="164" fontId="10" fillId="0" borderId="0" xfId="11" applyFont="1" applyFill="1" applyBorder="1">
      <alignment vertical="top"/>
    </xf>
    <xf numFmtId="164" fontId="4" fillId="0" borderId="0" xfId="11" applyFont="1" applyFill="1" applyBorder="1" applyAlignment="1">
      <alignment horizontal="right" vertical="top"/>
    </xf>
    <xf numFmtId="166" fontId="4" fillId="0" borderId="0" xfId="8" applyFont="1" applyFill="1">
      <alignment vertical="top"/>
    </xf>
    <xf numFmtId="164" fontId="18" fillId="0" borderId="0" xfId="0" applyFont="1" applyFill="1" applyAlignment="1">
      <alignment vertical="top"/>
    </xf>
    <xf numFmtId="164" fontId="4" fillId="0" borderId="0" xfId="11" applyFont="1" applyFill="1" applyBorder="1" applyAlignment="1">
      <alignment vertical="top" wrapText="1"/>
    </xf>
    <xf numFmtId="164" fontId="10" fillId="0" borderId="2" xfId="0" applyFont="1" applyFill="1" applyBorder="1" applyAlignment="1">
      <alignment vertical="top"/>
    </xf>
    <xf numFmtId="164" fontId="18" fillId="0" borderId="0" xfId="0" applyFont="1" applyFill="1" applyBorder="1" applyAlignment="1">
      <alignment horizontal="right" vertical="top"/>
    </xf>
    <xf numFmtId="166" fontId="10" fillId="0" borderId="0" xfId="8" applyFont="1" applyAlignment="1">
      <alignment vertical="top"/>
    </xf>
    <xf numFmtId="164" fontId="37" fillId="0" borderId="3" xfId="0" applyFont="1" applyBorder="1" applyAlignment="1">
      <alignment vertical="top"/>
    </xf>
    <xf numFmtId="164" fontId="38" fillId="0" borderId="3" xfId="0" applyFont="1" applyBorder="1" applyAlignment="1">
      <alignment vertical="top"/>
    </xf>
    <xf numFmtId="164" fontId="39" fillId="0" borderId="3" xfId="0" applyFont="1" applyBorder="1" applyAlignment="1">
      <alignment horizontal="right" vertical="top"/>
    </xf>
    <xf numFmtId="164" fontId="39" fillId="0" borderId="3" xfId="0" applyFont="1" applyFill="1" applyBorder="1" applyAlignment="1">
      <alignment vertical="top"/>
    </xf>
    <xf numFmtId="164" fontId="39" fillId="0" borderId="3" xfId="0" applyFont="1" applyBorder="1" applyAlignment="1">
      <alignment vertical="top"/>
    </xf>
    <xf numFmtId="164" fontId="39" fillId="5" borderId="3" xfId="0" applyFont="1" applyFill="1" applyBorder="1" applyAlignment="1">
      <alignment vertical="top"/>
    </xf>
    <xf numFmtId="164" fontId="8" fillId="0" borderId="2" xfId="0" applyFont="1" applyFill="1" applyBorder="1" applyAlignment="1">
      <alignment vertical="top"/>
    </xf>
    <xf numFmtId="164" fontId="9" fillId="0" borderId="2" xfId="0" applyFont="1" applyFill="1" applyBorder="1" applyAlignment="1">
      <alignment vertical="top"/>
    </xf>
    <xf numFmtId="164" fontId="18" fillId="0" borderId="2" xfId="0" applyFont="1" applyFill="1" applyBorder="1" applyAlignment="1">
      <alignment horizontal="right" vertical="top"/>
    </xf>
    <xf numFmtId="164" fontId="10" fillId="0" borderId="0" xfId="0" applyFont="1" applyFill="1" applyBorder="1" applyAlignment="1">
      <alignment vertical="top"/>
    </xf>
    <xf numFmtId="164" fontId="8" fillId="10" borderId="0" xfId="0" applyFont="1" applyFill="1" applyAlignment="1">
      <alignment vertical="top"/>
    </xf>
    <xf numFmtId="164" fontId="9" fillId="10" borderId="0" xfId="0" applyFont="1" applyFill="1" applyAlignment="1">
      <alignment vertical="top"/>
    </xf>
    <xf numFmtId="164" fontId="18" fillId="10" borderId="0" xfId="0" applyFont="1" applyFill="1" applyAlignment="1">
      <alignment horizontal="right" vertical="top"/>
    </xf>
    <xf numFmtId="164" fontId="18" fillId="10" borderId="0" xfId="0" applyFont="1" applyFill="1" applyAlignment="1">
      <alignment vertical="top"/>
    </xf>
    <xf numFmtId="166" fontId="18" fillId="10" borderId="0" xfId="8" applyFont="1" applyFill="1" applyAlignment="1">
      <alignment vertical="top"/>
    </xf>
    <xf numFmtId="164" fontId="4" fillId="10" borderId="0" xfId="0" applyFont="1" applyFill="1" applyAlignment="1">
      <alignment horizontal="right" vertical="top"/>
    </xf>
    <xf numFmtId="164" fontId="4" fillId="10" borderId="0" xfId="0" applyFont="1" applyFill="1" applyAlignment="1">
      <alignment vertical="top"/>
    </xf>
    <xf numFmtId="166" fontId="4" fillId="10" borderId="0" xfId="8" applyFont="1" applyFill="1" applyAlignment="1">
      <alignment vertical="top"/>
    </xf>
    <xf numFmtId="164" fontId="37" fillId="0" borderId="3" xfId="0" applyFont="1" applyFill="1" applyBorder="1" applyAlignment="1">
      <alignment vertical="top"/>
    </xf>
    <xf numFmtId="164" fontId="38" fillId="0" borderId="3" xfId="0" applyFont="1" applyFill="1" applyBorder="1" applyAlignment="1">
      <alignment vertical="top"/>
    </xf>
    <xf numFmtId="164" fontId="39" fillId="0" borderId="3" xfId="0" applyFont="1" applyFill="1" applyBorder="1" applyAlignment="1">
      <alignment horizontal="right" vertical="top"/>
    </xf>
    <xf numFmtId="164" fontId="6" fillId="8" borderId="0" xfId="0" applyFont="1" applyFill="1" applyAlignment="1">
      <alignment vertical="top"/>
    </xf>
    <xf numFmtId="164" fontId="28" fillId="0" borderId="0" xfId="0" applyFont="1" applyFill="1" applyBorder="1">
      <alignment vertical="top"/>
    </xf>
    <xf numFmtId="164" fontId="26" fillId="0" borderId="0" xfId="3" applyFont="1" applyFill="1">
      <alignment vertical="top"/>
    </xf>
    <xf numFmtId="164" fontId="35" fillId="0" borderId="0" xfId="3" applyFont="1" applyFill="1">
      <alignment vertical="top"/>
    </xf>
    <xf numFmtId="164" fontId="0" fillId="0" borderId="0" xfId="0" applyFill="1" applyAlignment="1">
      <alignment vertical="top"/>
    </xf>
    <xf numFmtId="164" fontId="8" fillId="0" borderId="3" xfId="0" applyFont="1" applyFill="1" applyBorder="1" applyAlignment="1">
      <alignment vertical="top"/>
    </xf>
    <xf numFmtId="164" fontId="9" fillId="0" borderId="3" xfId="0" applyFont="1" applyFill="1" applyBorder="1" applyAlignment="1">
      <alignment vertical="top"/>
    </xf>
    <xf numFmtId="164" fontId="18" fillId="0" borderId="3" xfId="0" applyFont="1" applyFill="1" applyBorder="1" applyAlignment="1">
      <alignment horizontal="right" vertical="top"/>
    </xf>
    <xf numFmtId="164" fontId="28" fillId="0" borderId="0" xfId="0" applyFont="1" applyFill="1">
      <alignment vertical="top"/>
    </xf>
    <xf numFmtId="164" fontId="41" fillId="0" borderId="0" xfId="0" applyFont="1" applyAlignment="1">
      <alignment vertical="top"/>
    </xf>
    <xf numFmtId="166" fontId="10" fillId="0" borderId="0" xfId="8" applyFont="1" applyFill="1" applyAlignment="1">
      <alignment vertical="top"/>
    </xf>
    <xf numFmtId="14" fontId="18" fillId="8" borderId="0" xfId="0" applyNumberFormat="1" applyFont="1" applyFill="1" applyAlignment="1">
      <alignment vertical="top"/>
    </xf>
    <xf numFmtId="14" fontId="10" fillId="0" borderId="0" xfId="0" applyNumberFormat="1" applyFont="1" applyAlignment="1">
      <alignment vertical="top"/>
    </xf>
    <xf numFmtId="165" fontId="18" fillId="0" borderId="0" xfId="7" applyFont="1" applyAlignment="1">
      <alignment vertical="top"/>
    </xf>
    <xf numFmtId="165" fontId="4" fillId="0" borderId="0" xfId="7" applyFont="1" applyAlignment="1">
      <alignment vertical="top"/>
    </xf>
    <xf numFmtId="164" fontId="10" fillId="0" borderId="0" xfId="7" applyNumberFormat="1" applyFont="1" applyAlignment="1">
      <alignment vertical="top"/>
    </xf>
    <xf numFmtId="164" fontId="4" fillId="0" borderId="0" xfId="3" applyFont="1">
      <alignment vertical="top"/>
    </xf>
    <xf numFmtId="164" fontId="48" fillId="12" borderId="0" xfId="0" applyFont="1" applyFill="1" applyAlignment="1">
      <alignment vertical="top"/>
    </xf>
    <xf numFmtId="164" fontId="4" fillId="0" borderId="0" xfId="0" quotePrefix="1" applyFont="1" applyFill="1" applyAlignment="1">
      <alignment vertical="top"/>
    </xf>
    <xf numFmtId="164" fontId="49" fillId="12" borderId="0" xfId="0" applyFont="1" applyFill="1" applyAlignment="1">
      <alignment vertical="top"/>
    </xf>
    <xf numFmtId="164" fontId="8" fillId="13" borderId="0" xfId="0" applyFont="1" applyFill="1" applyBorder="1" applyAlignment="1">
      <alignment vertical="top"/>
    </xf>
    <xf numFmtId="164" fontId="8" fillId="13" borderId="0" xfId="0" applyFont="1" applyFill="1" applyAlignment="1">
      <alignment vertical="top"/>
    </xf>
    <xf numFmtId="166" fontId="4" fillId="0" borderId="0" xfId="8" applyFont="1" applyFill="1" applyAlignment="1">
      <alignment vertical="top"/>
    </xf>
    <xf numFmtId="164" fontId="11" fillId="12" borderId="0" xfId="0" applyFont="1" applyFill="1" applyAlignment="1">
      <alignment vertical="top"/>
    </xf>
    <xf numFmtId="164" fontId="19" fillId="0" borderId="0" xfId="11" applyFont="1" applyFill="1">
      <alignment vertical="top"/>
    </xf>
    <xf numFmtId="169" fontId="8" fillId="0" borderId="0" xfId="6" applyFont="1">
      <alignment vertical="top"/>
    </xf>
    <xf numFmtId="169" fontId="8" fillId="0" borderId="0" xfId="6" applyFont="1" applyFill="1">
      <alignment vertical="top"/>
    </xf>
    <xf numFmtId="169" fontId="14" fillId="0" borderId="0" xfId="6" applyFont="1" applyFill="1">
      <alignment vertical="top"/>
    </xf>
    <xf numFmtId="169" fontId="4" fillId="0" borderId="0" xfId="6" applyFont="1">
      <alignment vertical="top"/>
    </xf>
    <xf numFmtId="169" fontId="27" fillId="0" borderId="0" xfId="6" applyFont="1">
      <alignment vertical="top"/>
    </xf>
    <xf numFmtId="169" fontId="8" fillId="0" borderId="0" xfId="6" applyFont="1" applyFill="1" applyBorder="1">
      <alignment vertical="top"/>
    </xf>
    <xf numFmtId="164" fontId="27" fillId="0" borderId="0" xfId="11" applyFont="1">
      <alignment vertical="top"/>
    </xf>
    <xf numFmtId="176" fontId="4" fillId="0" borderId="0" xfId="10" applyNumberFormat="1" applyFont="1" applyFill="1">
      <alignment vertical="top"/>
    </xf>
    <xf numFmtId="176" fontId="4" fillId="0" borderId="0" xfId="10" applyNumberFormat="1" applyFont="1" applyFill="1" applyBorder="1">
      <alignment vertical="top"/>
    </xf>
    <xf numFmtId="164" fontId="8" fillId="0" borderId="0" xfId="11" applyFont="1" applyAlignment="1">
      <alignment horizontal="center" vertical="top" wrapText="1"/>
    </xf>
    <xf numFmtId="164" fontId="8" fillId="0" borderId="0" xfId="11" applyFont="1" applyFill="1" applyAlignment="1">
      <alignment horizontal="center" vertical="top" wrapText="1"/>
    </xf>
    <xf numFmtId="164" fontId="7" fillId="0" borderId="0" xfId="11" applyFont="1" applyFill="1" applyAlignment="1">
      <alignment horizontal="center" vertical="top" wrapText="1"/>
    </xf>
    <xf numFmtId="164" fontId="4" fillId="0" borderId="0" xfId="11" applyFont="1" applyAlignment="1">
      <alignment horizontal="center" vertical="top" wrapText="1"/>
    </xf>
    <xf numFmtId="40" fontId="50" fillId="0" borderId="15" xfId="0" applyNumberFormat="1" applyFont="1" applyBorder="1" applyAlignment="1">
      <alignment horizontal="center" vertical="top" wrapText="1"/>
    </xf>
    <xf numFmtId="164" fontId="4" fillId="0" borderId="0" xfId="11" applyFont="1" applyFill="1" applyBorder="1" applyAlignment="1">
      <alignment horizontal="center" vertical="top" wrapText="1"/>
    </xf>
    <xf numFmtId="40" fontId="50" fillId="0" borderId="15" xfId="0" applyNumberFormat="1" applyFont="1" applyBorder="1">
      <alignment vertical="top"/>
    </xf>
    <xf numFmtId="164" fontId="51" fillId="8" borderId="15" xfId="11" applyFont="1" applyFill="1" applyBorder="1">
      <alignment vertical="top"/>
    </xf>
    <xf numFmtId="164" fontId="51" fillId="0" borderId="15" xfId="11" applyFont="1" applyBorder="1">
      <alignment vertical="top"/>
    </xf>
    <xf numFmtId="164" fontId="51" fillId="0" borderId="15" xfId="11" applyFont="1" applyFill="1" applyBorder="1">
      <alignment vertical="top"/>
    </xf>
    <xf numFmtId="40" fontId="50" fillId="0" borderId="15" xfId="0" applyNumberFormat="1" applyFont="1" applyFill="1" applyBorder="1">
      <alignment vertical="top"/>
    </xf>
    <xf numFmtId="40" fontId="51" fillId="0" borderId="0" xfId="0" applyNumberFormat="1" applyFont="1">
      <alignment vertical="top"/>
    </xf>
    <xf numFmtId="40" fontId="51" fillId="0" borderId="0" xfId="0" applyNumberFormat="1" applyFont="1" applyAlignment="1">
      <alignment horizontal="center"/>
    </xf>
    <xf numFmtId="177" fontId="52" fillId="13" borderId="16" xfId="11" applyNumberFormat="1" applyFont="1" applyFill="1" applyBorder="1">
      <alignment vertical="top"/>
    </xf>
    <xf numFmtId="164" fontId="51" fillId="0" borderId="17" xfId="11" applyFont="1" applyBorder="1">
      <alignment vertical="top"/>
    </xf>
    <xf numFmtId="40" fontId="50" fillId="0" borderId="15" xfId="0" applyNumberFormat="1" applyFont="1" applyFill="1" applyBorder="1" applyAlignment="1">
      <alignment vertical="top" wrapText="1"/>
    </xf>
    <xf numFmtId="166" fontId="51" fillId="0" borderId="15" xfId="8" applyFont="1" applyBorder="1">
      <alignment vertical="top"/>
    </xf>
    <xf numFmtId="166" fontId="51" fillId="8" borderId="15" xfId="8" applyFont="1" applyFill="1" applyBorder="1">
      <alignment vertical="top"/>
    </xf>
    <xf numFmtId="166" fontId="51" fillId="0" borderId="15" xfId="8" applyFont="1" applyFill="1" applyBorder="1">
      <alignment vertical="top"/>
    </xf>
    <xf numFmtId="164" fontId="11" fillId="0" borderId="15" xfId="0" applyFont="1" applyFill="1" applyBorder="1" applyAlignment="1">
      <alignment vertical="top"/>
    </xf>
    <xf numFmtId="166" fontId="8" fillId="0" borderId="15" xfId="8" applyFont="1" applyBorder="1">
      <alignment vertical="top"/>
    </xf>
    <xf numFmtId="164" fontId="8" fillId="0" borderId="15" xfId="11" applyFont="1" applyBorder="1">
      <alignment vertical="top"/>
    </xf>
    <xf numFmtId="164" fontId="4" fillId="0" borderId="15" xfId="11" applyFont="1" applyBorder="1">
      <alignment vertical="top"/>
    </xf>
    <xf numFmtId="164" fontId="4" fillId="0" borderId="15" xfId="11" applyFont="1" applyFill="1" applyBorder="1">
      <alignment vertical="top"/>
    </xf>
    <xf numFmtId="166" fontId="8" fillId="0" borderId="23" xfId="8" applyFont="1" applyBorder="1">
      <alignment vertical="top"/>
    </xf>
    <xf numFmtId="164" fontId="4" fillId="0" borderId="23" xfId="11" applyFont="1" applyFill="1" applyBorder="1">
      <alignment vertical="top"/>
    </xf>
    <xf numFmtId="166" fontId="8" fillId="0" borderId="24" xfId="8" applyFont="1" applyBorder="1">
      <alignment vertical="top"/>
    </xf>
    <xf numFmtId="164" fontId="4" fillId="0" borderId="24" xfId="11" applyFont="1" applyBorder="1">
      <alignment vertical="top"/>
    </xf>
    <xf numFmtId="164" fontId="4" fillId="0" borderId="24" xfId="11" applyFont="1" applyFill="1" applyBorder="1">
      <alignment vertical="top"/>
    </xf>
    <xf numFmtId="164" fontId="4" fillId="0" borderId="25" xfId="11" applyFont="1" applyFill="1" applyBorder="1">
      <alignment vertical="top"/>
    </xf>
    <xf numFmtId="164" fontId="4" fillId="14" borderId="18" xfId="11" applyFont="1" applyFill="1" applyBorder="1">
      <alignment vertical="top"/>
    </xf>
    <xf numFmtId="164" fontId="51" fillId="0" borderId="15" xfId="7" applyNumberFormat="1" applyFont="1" applyBorder="1">
      <alignment vertical="top"/>
    </xf>
    <xf numFmtId="164" fontId="11" fillId="13" borderId="0" xfId="0" applyFont="1" applyFill="1" applyAlignment="1">
      <alignment vertical="top"/>
    </xf>
    <xf numFmtId="164" fontId="53" fillId="0" borderId="10" xfId="13" applyNumberFormat="1" applyFont="1" applyFill="1" applyBorder="1" applyAlignment="1" applyProtection="1">
      <alignment vertical="top"/>
    </xf>
    <xf numFmtId="164" fontId="53" fillId="0" borderId="10" xfId="13" applyNumberFormat="1" applyFont="1" applyFill="1" applyBorder="1" applyAlignment="1" applyProtection="1">
      <alignment vertical="top" wrapText="1"/>
    </xf>
    <xf numFmtId="0" fontId="8" fillId="0" borderId="0" xfId="16" applyFont="1" applyAlignment="1" applyProtection="1">
      <alignment horizontal="centerContinuous"/>
      <protection locked="0"/>
    </xf>
    <xf numFmtId="0" fontId="54" fillId="0" borderId="0" xfId="16" applyFont="1" applyAlignment="1" applyProtection="1">
      <alignment horizontal="centerContinuous"/>
      <protection locked="0"/>
    </xf>
    <xf numFmtId="0" fontId="55" fillId="0" borderId="0" xfId="16" applyFont="1" applyAlignment="1" applyProtection="1">
      <alignment horizontal="centerContinuous"/>
      <protection locked="0"/>
    </xf>
    <xf numFmtId="0" fontId="4" fillId="0" borderId="0" xfId="16" applyProtection="1">
      <protection locked="0"/>
    </xf>
    <xf numFmtId="0" fontId="4" fillId="0" borderId="8" xfId="16" applyBorder="1" applyAlignment="1" applyProtection="1">
      <alignment vertical="center"/>
      <protection locked="0"/>
    </xf>
    <xf numFmtId="0" fontId="4" fillId="0" borderId="4" xfId="16" applyBorder="1" applyAlignment="1" applyProtection="1">
      <alignment vertical="center"/>
      <protection locked="0"/>
    </xf>
    <xf numFmtId="0" fontId="4" fillId="0" borderId="10" xfId="16" applyBorder="1" applyAlignment="1" applyProtection="1">
      <alignment vertical="center"/>
      <protection locked="0"/>
    </xf>
    <xf numFmtId="0" fontId="4" fillId="0" borderId="10" xfId="16" applyBorder="1" applyProtection="1">
      <protection locked="0"/>
    </xf>
    <xf numFmtId="0" fontId="4" fillId="0" borderId="11" xfId="16" applyBorder="1" applyProtection="1">
      <protection locked="0"/>
    </xf>
    <xf numFmtId="180" fontId="4" fillId="0" borderId="0" xfId="3" applyNumberFormat="1" applyFont="1" applyBorder="1" applyAlignment="1" applyProtection="1">
      <protection locked="0"/>
    </xf>
    <xf numFmtId="0" fontId="4" fillId="0" borderId="12" xfId="16" applyBorder="1" applyProtection="1">
      <protection locked="0"/>
    </xf>
    <xf numFmtId="0" fontId="4" fillId="0" borderId="13" xfId="16" applyBorder="1" applyProtection="1">
      <protection locked="0"/>
    </xf>
    <xf numFmtId="0" fontId="4" fillId="0" borderId="14" xfId="16" applyBorder="1" applyProtection="1">
      <protection locked="0"/>
    </xf>
    <xf numFmtId="164" fontId="4" fillId="0" borderId="4" xfId="9" applyBorder="1" applyAlignment="1">
      <alignment vertical="top"/>
    </xf>
    <xf numFmtId="164" fontId="4" fillId="0" borderId="9" xfId="9" applyBorder="1" applyAlignment="1">
      <alignment vertical="top"/>
    </xf>
    <xf numFmtId="178" fontId="14" fillId="0" borderId="0" xfId="0" applyNumberFormat="1" applyFont="1" applyBorder="1" applyAlignment="1" applyProtection="1">
      <protection locked="0"/>
    </xf>
    <xf numFmtId="179" fontId="14" fillId="0" borderId="0" xfId="0" quotePrefix="1" applyNumberFormat="1" applyFont="1" applyBorder="1" applyAlignment="1" applyProtection="1">
      <alignment horizontal="right"/>
      <protection locked="0"/>
    </xf>
    <xf numFmtId="164" fontId="14" fillId="0" borderId="0" xfId="0" applyFont="1" applyBorder="1" applyAlignment="1" applyProtection="1">
      <protection locked="0"/>
    </xf>
    <xf numFmtId="164" fontId="4" fillId="0" borderId="0" xfId="9" applyBorder="1" applyAlignment="1">
      <alignment vertical="top"/>
    </xf>
    <xf numFmtId="164" fontId="4" fillId="0" borderId="11" xfId="9" applyBorder="1" applyAlignment="1">
      <alignment vertical="top"/>
    </xf>
    <xf numFmtId="181" fontId="57" fillId="0" borderId="0" xfId="0" applyNumberFormat="1" applyFont="1" applyBorder="1" applyAlignment="1" applyProtection="1">
      <protection locked="0"/>
    </xf>
    <xf numFmtId="164" fontId="4" fillId="0" borderId="13" xfId="9" applyBorder="1" applyAlignment="1">
      <alignment vertical="top"/>
    </xf>
    <xf numFmtId="164" fontId="4" fillId="0" borderId="14" xfId="9" applyBorder="1" applyAlignment="1">
      <alignment vertical="top"/>
    </xf>
    <xf numFmtId="164" fontId="11" fillId="0" borderId="0" xfId="7" applyNumberFormat="1" applyFont="1" applyBorder="1" applyAlignment="1" applyProtection="1">
      <alignment vertical="center"/>
      <protection locked="0"/>
    </xf>
    <xf numFmtId="0" fontId="56" fillId="0" borderId="4" xfId="16" applyFont="1" applyBorder="1" applyAlignment="1" applyProtection="1">
      <alignment horizontal="centerContinuous" vertical="center"/>
      <protection locked="0"/>
    </xf>
    <xf numFmtId="0" fontId="27" fillId="0" borderId="4" xfId="16" applyFont="1" applyBorder="1" applyAlignment="1" applyProtection="1">
      <alignment horizontal="centerContinuous" vertical="center"/>
      <protection locked="0"/>
    </xf>
    <xf numFmtId="164" fontId="11" fillId="0" borderId="11" xfId="7" applyNumberFormat="1" applyFont="1" applyBorder="1" applyAlignment="1" applyProtection="1">
      <alignment vertical="center"/>
      <protection locked="0"/>
    </xf>
    <xf numFmtId="178" fontId="59" fillId="0" borderId="0" xfId="0" applyNumberFormat="1" applyFont="1" applyBorder="1" applyAlignment="1" applyProtection="1">
      <protection locked="0"/>
    </xf>
    <xf numFmtId="178" fontId="59" fillId="0" borderId="11" xfId="0" applyNumberFormat="1" applyFont="1" applyBorder="1" applyAlignment="1" applyProtection="1">
      <protection locked="0"/>
    </xf>
    <xf numFmtId="181" fontId="57" fillId="0" borderId="11" xfId="0" applyNumberFormat="1" applyFont="1" applyBorder="1" applyAlignment="1" applyProtection="1">
      <protection locked="0"/>
    </xf>
    <xf numFmtId="0" fontId="64" fillId="0" borderId="26" xfId="16" applyFont="1" applyBorder="1" applyProtection="1">
      <protection locked="0"/>
    </xf>
    <xf numFmtId="164" fontId="14" fillId="16" borderId="0" xfId="0" applyFont="1" applyFill="1" applyBorder="1" applyAlignment="1"/>
    <xf numFmtId="164" fontId="14" fillId="17" borderId="0" xfId="0" applyFont="1" applyFill="1" applyBorder="1" applyAlignment="1"/>
    <xf numFmtId="178" fontId="49" fillId="15" borderId="0" xfId="0" applyNumberFormat="1" applyFont="1" applyFill="1" applyBorder="1" applyAlignment="1">
      <alignment vertical="center"/>
    </xf>
    <xf numFmtId="164" fontId="49" fillId="15" borderId="0" xfId="0" applyFont="1" applyFill="1" applyBorder="1" applyAlignment="1">
      <alignment vertical="center"/>
    </xf>
    <xf numFmtId="178" fontId="14" fillId="16" borderId="0" xfId="0" applyNumberFormat="1" applyFont="1" applyFill="1" applyBorder="1" applyAlignment="1"/>
    <xf numFmtId="179" fontId="14" fillId="16" borderId="0" xfId="0" quotePrefix="1" applyNumberFormat="1" applyFont="1" applyFill="1" applyBorder="1" applyAlignment="1">
      <alignment horizontal="right"/>
    </xf>
    <xf numFmtId="178" fontId="14" fillId="17" borderId="0" xfId="0" applyNumberFormat="1" applyFont="1" applyFill="1" applyBorder="1" applyAlignment="1"/>
    <xf numFmtId="179" fontId="14" fillId="17" borderId="0" xfId="0" quotePrefix="1" applyNumberFormat="1" applyFont="1" applyFill="1" applyBorder="1" applyAlignment="1">
      <alignment horizontal="right"/>
    </xf>
    <xf numFmtId="181" fontId="65" fillId="0" borderId="0" xfId="0" applyNumberFormat="1" applyFont="1" applyBorder="1" applyAlignment="1" applyProtection="1">
      <protection locked="0"/>
    </xf>
    <xf numFmtId="0" fontId="4" fillId="15" borderId="8" xfId="16" applyFill="1" applyBorder="1" applyAlignment="1">
      <alignment vertical="center"/>
    </xf>
    <xf numFmtId="0" fontId="4" fillId="15" borderId="4" xfId="16" applyFill="1" applyBorder="1" applyAlignment="1">
      <alignment vertical="center"/>
    </xf>
    <xf numFmtId="0" fontId="48" fillId="15" borderId="4" xfId="16" applyFont="1" applyFill="1" applyBorder="1" applyAlignment="1">
      <alignment vertical="center"/>
    </xf>
    <xf numFmtId="0" fontId="61" fillId="15" borderId="4" xfId="16" applyFont="1" applyFill="1" applyBorder="1" applyAlignment="1">
      <alignment horizontal="centerContinuous" vertical="center"/>
    </xf>
    <xf numFmtId="0" fontId="62" fillId="15" borderId="4" xfId="16" applyFont="1" applyFill="1" applyBorder="1" applyAlignment="1">
      <alignment horizontal="centerContinuous" vertical="center"/>
    </xf>
    <xf numFmtId="0" fontId="48" fillId="15" borderId="9" xfId="16" applyFont="1" applyFill="1" applyBorder="1" applyAlignment="1">
      <alignment vertical="center"/>
    </xf>
    <xf numFmtId="164" fontId="49" fillId="15" borderId="11" xfId="0" applyFont="1" applyFill="1" applyBorder="1" applyAlignment="1">
      <alignment vertical="center"/>
    </xf>
    <xf numFmtId="0" fontId="4" fillId="16" borderId="10" xfId="16" applyFill="1" applyBorder="1"/>
    <xf numFmtId="164" fontId="14" fillId="16" borderId="11" xfId="0" applyFont="1" applyFill="1" applyBorder="1" applyAlignment="1"/>
    <xf numFmtId="0" fontId="4" fillId="17" borderId="10" xfId="16" applyFill="1" applyBorder="1"/>
    <xf numFmtId="164" fontId="14" fillId="17" borderId="11" xfId="0" applyFont="1" applyFill="1" applyBorder="1" applyAlignment="1"/>
    <xf numFmtId="180" fontId="4" fillId="0" borderId="11" xfId="3" applyNumberFormat="1" applyFont="1" applyBorder="1" applyAlignment="1" applyProtection="1">
      <protection locked="0"/>
    </xf>
    <xf numFmtId="0" fontId="4" fillId="0" borderId="13" xfId="16" applyBorder="1" applyAlignment="1" applyProtection="1">
      <alignment horizontal="left"/>
      <protection locked="0"/>
    </xf>
    <xf numFmtId="181" fontId="65" fillId="0" borderId="11" xfId="0" applyNumberFormat="1" applyFont="1" applyBorder="1" applyAlignment="1" applyProtection="1">
      <protection locked="0"/>
    </xf>
    <xf numFmtId="166" fontId="67" fillId="0" borderId="0" xfId="8" applyFont="1" applyBorder="1" applyAlignment="1" applyProtection="1">
      <protection locked="0"/>
    </xf>
    <xf numFmtId="0" fontId="49" fillId="15" borderId="10" xfId="16" applyFont="1" applyFill="1" applyBorder="1" applyAlignment="1">
      <alignment vertical="center"/>
    </xf>
    <xf numFmtId="0" fontId="4" fillId="15" borderId="0" xfId="16" applyFill="1" applyAlignment="1">
      <alignment vertical="center"/>
    </xf>
    <xf numFmtId="0" fontId="49" fillId="15" borderId="0" xfId="16" applyFont="1" applyFill="1" applyAlignment="1">
      <alignment vertical="center"/>
    </xf>
    <xf numFmtId="0" fontId="4" fillId="16" borderId="0" xfId="16" applyFill="1"/>
    <xf numFmtId="0" fontId="4" fillId="17" borderId="0" xfId="16" applyFill="1"/>
    <xf numFmtId="0" fontId="8" fillId="0" borderId="10" xfId="16" applyFont="1" applyBorder="1" applyProtection="1">
      <protection locked="0"/>
    </xf>
    <xf numFmtId="0" fontId="63" fillId="0" borderId="0" xfId="16" applyFont="1" applyProtection="1">
      <protection locked="0"/>
    </xf>
    <xf numFmtId="0" fontId="57" fillId="0" borderId="0" xfId="16" applyFont="1" applyProtection="1">
      <protection locked="0"/>
    </xf>
    <xf numFmtId="0" fontId="58" fillId="0" borderId="0" xfId="16" applyFont="1" applyProtection="1">
      <protection locked="0"/>
    </xf>
    <xf numFmtId="0" fontId="64" fillId="0" borderId="0" xfId="16" applyFont="1" applyProtection="1">
      <protection locked="0"/>
    </xf>
    <xf numFmtId="0" fontId="66" fillId="0" borderId="0" xfId="16" applyFont="1" applyProtection="1">
      <protection locked="0"/>
    </xf>
    <xf numFmtId="0" fontId="67" fillId="0" borderId="0" xfId="16" applyFont="1" applyProtection="1">
      <protection locked="0"/>
    </xf>
    <xf numFmtId="0" fontId="68" fillId="0" borderId="0" xfId="16" applyFont="1" applyProtection="1">
      <protection locked="0"/>
    </xf>
    <xf numFmtId="182" fontId="60" fillId="12" borderId="0" xfId="16" applyNumberFormat="1" applyFont="1" applyFill="1" applyProtection="1">
      <protection locked="0"/>
    </xf>
    <xf numFmtId="4" fontId="64" fillId="0" borderId="0" xfId="3" applyNumberFormat="1" applyFont="1" applyFill="1" applyBorder="1" applyAlignment="1" applyProtection="1">
      <protection locked="0"/>
    </xf>
    <xf numFmtId="0" fontId="4" fillId="0" borderId="0" xfId="16" applyAlignment="1" applyProtection="1">
      <alignment vertical="center"/>
      <protection locked="0"/>
    </xf>
    <xf numFmtId="0" fontId="8" fillId="0" borderId="0" xfId="16" applyFont="1" applyProtection="1">
      <protection locked="0"/>
    </xf>
    <xf numFmtId="0" fontId="5" fillId="0" borderId="0" xfId="16" applyFont="1" applyProtection="1">
      <protection locked="0"/>
    </xf>
    <xf numFmtId="4" fontId="64" fillId="0" borderId="11" xfId="3" applyNumberFormat="1" applyFont="1" applyFill="1" applyBorder="1" applyAlignment="1" applyProtection="1">
      <protection locked="0"/>
    </xf>
    <xf numFmtId="0" fontId="64" fillId="0" borderId="27" xfId="16" applyFont="1" applyBorder="1" applyProtection="1">
      <protection locked="0"/>
    </xf>
    <xf numFmtId="170" fontId="8" fillId="0" borderId="8" xfId="9" applyNumberFormat="1" applyFont="1" applyFill="1" applyBorder="1" applyAlignment="1" applyProtection="1">
      <alignment horizontal="center" vertical="center"/>
      <protection hidden="1"/>
    </xf>
    <xf numFmtId="170" fontId="8" fillId="0" borderId="9" xfId="9" applyNumberFormat="1" applyFont="1" applyFill="1" applyBorder="1" applyAlignment="1" applyProtection="1">
      <alignment horizontal="center" vertical="center"/>
      <protection hidden="1"/>
    </xf>
    <xf numFmtId="170" fontId="40" fillId="9" borderId="10" xfId="9" applyNumberFormat="1" applyFont="1" applyFill="1" applyBorder="1" applyAlignment="1" applyProtection="1">
      <alignment horizontal="center" vertical="center"/>
      <protection hidden="1"/>
    </xf>
    <xf numFmtId="170" fontId="40" fillId="9" borderId="0" xfId="9" applyNumberFormat="1" applyFont="1" applyFill="1" applyBorder="1" applyAlignment="1" applyProtection="1">
      <alignment horizontal="center" vertical="center"/>
      <protection hidden="1"/>
    </xf>
    <xf numFmtId="164" fontId="4" fillId="14" borderId="19" xfId="11" applyFont="1" applyFill="1" applyBorder="1" applyAlignment="1">
      <alignment horizontal="center" vertical="top"/>
    </xf>
    <xf numFmtId="164" fontId="4" fillId="14" borderId="20" xfId="11" applyFont="1" applyFill="1" applyBorder="1" applyAlignment="1">
      <alignment horizontal="center" vertical="top"/>
    </xf>
    <xf numFmtId="164" fontId="4" fillId="14" borderId="21" xfId="11" applyFont="1" applyFill="1" applyBorder="1" applyAlignment="1">
      <alignment horizontal="center" vertical="top" textRotation="90"/>
    </xf>
    <xf numFmtId="164" fontId="4" fillId="14" borderId="22" xfId="11" applyFont="1" applyFill="1" applyBorder="1" applyAlignment="1">
      <alignment horizontal="center" vertical="top" textRotation="90"/>
    </xf>
  </cellXfs>
  <cellStyles count="17">
    <cellStyle name="%" xfId="1" xr:uid="{00000000-0005-0000-0000-000000000000}"/>
    <cellStyle name="% 2" xfId="10" xr:uid="{00000000-0005-0000-0000-000001000000}"/>
    <cellStyle name="Assumption" xfId="2" xr:uid="{00000000-0005-0000-0000-000002000000}"/>
    <cellStyle name="Comma" xfId="3" builtinId="3"/>
    <cellStyle name="Comma 2" xfId="11" xr:uid="{00000000-0005-0000-0000-000004000000}"/>
    <cellStyle name="Comma 2 2" xfId="4" xr:uid="{00000000-0005-0000-0000-000005000000}"/>
    <cellStyle name="Comma 2 2 2" xfId="12" xr:uid="{00000000-0005-0000-0000-000006000000}"/>
    <cellStyle name="DateLong" xfId="5" xr:uid="{00000000-0005-0000-0000-000007000000}"/>
    <cellStyle name="DateShort" xfId="6" xr:uid="{00000000-0005-0000-0000-000008000000}"/>
    <cellStyle name="Factor" xfId="7" xr:uid="{00000000-0005-0000-0000-000009000000}"/>
    <cellStyle name="Factor 2" xfId="15" xr:uid="{00000000-0005-0000-0000-00000A000000}"/>
    <cellStyle name="Hyperlink" xfId="13" builtinId="8"/>
    <cellStyle name="Normal" xfId="0" builtinId="0"/>
    <cellStyle name="Normal 2" xfId="9" xr:uid="{00000000-0005-0000-0000-00000D000000}"/>
    <cellStyle name="Normal 3" xfId="14" xr:uid="{00000000-0005-0000-0000-00000E000000}"/>
    <cellStyle name="Normal_DrydenNewDCF3" xfId="16" xr:uid="{3ED3DEC0-7AFA-46A8-9F6D-2EDB089B920C}"/>
    <cellStyle name="Percent" xfId="8" builtinId="5"/>
  </cellStyles>
  <dxfs count="58">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44"/>
        </patternFill>
      </fill>
    </dxf>
    <dxf>
      <fill>
        <patternFill>
          <bgColor indexed="47"/>
        </patternFill>
      </fill>
    </dxf>
    <dxf>
      <fill>
        <patternFill>
          <bgColor indexed="10"/>
        </patternFill>
      </fill>
    </dxf>
    <dxf>
      <fill>
        <patternFill>
          <bgColor indexed="10"/>
        </patternFill>
      </fill>
    </dxf>
    <dxf>
      <font>
        <condense val="0"/>
        <extend val="0"/>
        <color indexed="9"/>
      </font>
      <fill>
        <patternFill>
          <bgColor indexed="12"/>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EAEAEA"/>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styles" Target="styles.xml"/><Relationship Id="rId21" Type="http://schemas.openxmlformats.org/officeDocument/2006/relationships/externalLink" Target="externalLinks/externalLink3.xml"/><Relationship Id="rId34" Type="http://schemas.openxmlformats.org/officeDocument/2006/relationships/externalLink" Target="externalLinks/externalLink16.xml"/><Relationship Id="rId42"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externalLink" Target="externalLinks/externalLink11.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externalLink" Target="externalLinks/externalLink14.xml"/><Relationship Id="rId37" Type="http://schemas.openxmlformats.org/officeDocument/2006/relationships/externalLink" Target="externalLinks/externalLink19.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externalLink" Target="externalLinks/externalLink18.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externalLink" Target="externalLinks/externalLink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openxmlformats.org/officeDocument/2006/relationships/externalLink" Target="externalLinks/externalLink1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externalLink" Target="externalLinks/externalLink15.xml"/><Relationship Id="rId38"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hyperlink" Target="#Summary!A1"/></Relationships>
</file>

<file path=xl/drawings/drawing1.xml><?xml version="1.0" encoding="utf-8"?>
<xdr:wsDr xmlns:xdr="http://schemas.openxmlformats.org/drawingml/2006/spreadsheetDrawing" xmlns:a="http://schemas.openxmlformats.org/drawingml/2006/main">
  <xdr:twoCellAnchor>
    <xdr:from>
      <xdr:col>3</xdr:col>
      <xdr:colOff>23812</xdr:colOff>
      <xdr:row>4</xdr:row>
      <xdr:rowOff>154782</xdr:rowOff>
    </xdr:from>
    <xdr:to>
      <xdr:col>4</xdr:col>
      <xdr:colOff>265376</xdr:colOff>
      <xdr:row>7</xdr:row>
      <xdr:rowOff>107157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5891212" y="897732"/>
          <a:ext cx="851164" cy="466725"/>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US" sz="1100" b="1"/>
            <a:t>Key</a:t>
          </a:r>
        </a:p>
        <a:p>
          <a:pPr algn="ctr"/>
          <a:r>
            <a:rPr lang="en-US" sz="1100" b="1"/>
            <a:t>Results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MAHMOUD\My%20Documents\Documents%20and%20Settings\Administrator\Local%20Settings\Temporary%20Internet%20Files\Content.IE5\RUSJB14P\FinSup\Plan01%20DJ\Supply%20Plan%20Review.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pskfin024\accounts%20use\Kimaro\OLD%20FILES\Excel%20files\BUDGET\2001\BUDGET%202001\RTS&amp;REV%20-%20Year%2020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Documents%20and%20Settings\mbagha.TPSK\My%20Documents\My%20Documents\SEPTEMBER%202003%20ACCOUNTS\TPS(T)%20ANNEXURES-SEPTEMBER%202003%20TPST%20&amp;%20MTV.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Startup" Target="OIL/XLDATA/Integrated%20team/Models/RD%20Shell/RD%20from%20Hst%2019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PSKFIN014\MY%20DOCUMENTS\windows\TEMP\Statistics\boardpaper%20stats\FD's%20stats\Target%20occupancies%202000%20-%20board%20paper.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ecgyemldr01\users\hmedina\MisDocumentos\henry\Traslaci&#243;n\gaap1199.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hontfs01\root\TEMP\TEMP\P.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Mufsjmms1\ibd\TEMP\Compco3.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Startup" Target="OIL/XLDATA/Integrated%20team/Models/RD%20Shell/RD.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MMAHMOUD\My%20Documents\Documents%20and%20Settings\Administrator\Local%20Settings\Temporary%20Internet%20Files\Content.IE5\RUSJB14P\FinSup\Plan01%20DJ\Cost%20Format.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G:\WINDOWS\TEMP\TPSLMARCH2001%20P&amp;L.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DKCPH06\SEKR$\Documents%20and%20Settings\jgruelund\Local%20Settings\Temporary%20Internet%20Files\OLK2\Peergroup_10092002.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DKCPH06\SEKR$\Afd7300\Corporate%20Finance\Projects\Nycomed\Old%20stuff\Swdish%20Orphan\Figur_valuation_2808200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TPSKFIN014\MY%20DOCUMENTS\WINDOWS\TEMP\TEMP\MAY2000FORECAST&amp;CFLOW2.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invhestia1/Dropbox%20(Esham%20-%20InVhestia%20Dx)/Invhestia%20-%20Josephat/Almasi/PET%20Line%20Appraisal%20MKBL.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invhestia1/Dropbox%20(Esham%20-%20InVhestia%20Dx)/Invhestia%20-%20Josephat/Good%20models/Stima%20Model_SO_%2001f.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can_pc\&#47196;&#52972;%20&#46356;&#49828;&#53356;%20(D)\2Lidong%20Chemical\&#44221;&#51228;&#49457;&#44160;&#53664;\Lidong%20Aromatics\Documents%20and%20Settings\C14260\Local%20Settings\Temporary%20Internet%20Files\Content.IE5\EZ29SRQ1\EII-&#44228;&#49328;(VisualPH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scan_pc\&#47196;&#52972;%20&#46356;&#49828;&#53356;%20(D)\2Lidong%20Chemical\&#44221;&#51228;&#49457;&#44160;&#53664;\Lidong%20Aromatics\Documents%20and%20Settings\C14260\Local%20Settings\Temporary%20Internet%20Files\Content.IE5\EZ29SRQ1\Steam&#44228;&#49328;(VisualPHD).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scan_pc\&#47196;&#52972;%20&#46356;&#49828;&#53356;%20(D)\2Lidong%20Chemical\&#44221;&#51228;&#49457;&#44160;&#53664;\Lidong%20Aromatics\Documents%20and%20Settings\C14260\Local%20Settings\Temporary%20Internet%20Files\Content.IE5\EZ29SRQ1\EII-&#51204;&#49569;(VisualPH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apex"/>
      <sheetName val="Factory Op Statement"/>
      <sheetName val="Reconciliation"/>
      <sheetName val="OtherKPI"/>
      <sheetName val="A"/>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oms Occ. (%)"/>
      <sheetName val="Rooms Available"/>
      <sheetName val="Rooms Occupied"/>
      <sheetName val="Beds occupied"/>
      <sheetName val="Room rate"/>
      <sheetName val="Food-Room rate"/>
      <sheetName val="Food-room rev 97,98,99&amp;00"/>
      <sheetName val="Rooms revenue"/>
      <sheetName val="Food Allocation"/>
    </sheetNames>
    <sheetDataSet>
      <sheetData sheetId="0">
        <row r="1">
          <cell r="A1" t="str">
            <v>SERENA HOTELS</v>
          </cell>
        </row>
        <row r="2">
          <cell r="A2" t="str">
            <v>PERCENTAGE ROOM OCCUPANCY FOR 16 YEARS</v>
          </cell>
        </row>
      </sheetData>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nexx 1"/>
      <sheetName val="Anexx 2"/>
      <sheetName val="FA1i"/>
      <sheetName val="FA1ii"/>
      <sheetName val="FA1iii"/>
      <sheetName val="FA1iv"/>
      <sheetName val="FA1v"/>
      <sheetName val="FA1Yi"/>
      <sheetName val="FA1Yii"/>
      <sheetName val="FA1Yiii"/>
      <sheetName val="FA1Yiv"/>
      <sheetName val="FA1Yv"/>
      <sheetName val="FA2i (2)"/>
      <sheetName val="FA2ii (2)"/>
      <sheetName val="FA2iii (2)"/>
      <sheetName val="FA2iv (2)"/>
      <sheetName val="FA2v (2)"/>
      <sheetName val="FA2i"/>
      <sheetName val="FA2ii"/>
      <sheetName val="FA2iii"/>
      <sheetName val="FA2iv"/>
      <sheetName val="FA2v"/>
      <sheetName val="FA3"/>
      <sheetName val="FA4"/>
      <sheetName val="FA5"/>
      <sheetName val="FA6"/>
      <sheetName val="Chart1"/>
      <sheetName val="SM1"/>
      <sheetName val="SM1(i)"/>
      <sheetName val="SM1(ii)"/>
      <sheetName val="SM2 (1)"/>
      <sheetName val="SM2 (2)"/>
      <sheetName val="SM3 (1)"/>
      <sheetName val="SM3 (2)"/>
      <sheetName val="ANNEX HR 1 (i)"/>
      <sheetName val="YTD - TSHS"/>
      <sheetName val="ANNEX HR 1(ii)"/>
      <sheetName val="YTD - US $"/>
      <sheetName val="FA7"/>
      <sheetName val="FA7Y"/>
      <sheetName val="FA8"/>
      <sheetName val="FA9"/>
      <sheetName val="FA10"/>
      <sheetName val="FA11"/>
      <sheetName val="SM 4 (i)"/>
      <sheetName val="SM 4 (ii)"/>
      <sheetName val=" SM 5 (i)"/>
      <sheetName val=" SM 5  (ii)"/>
      <sheetName val="SM 6(i)"/>
      <sheetName val="SM 6 (ii)"/>
      <sheetName val="ANNEX HR2 (i)"/>
      <sheetName val="YTD-TShs"/>
      <sheetName val="ANNEX HR 2 (ii)"/>
      <sheetName val="YTD-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refreshError="1"/>
      <sheetData sheetId="37"/>
      <sheetData sheetId="38" refreshError="1"/>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 sheetId="53"/>
      <sheetData sheetId="5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D"/>
      <sheetName val="ROCE"/>
      <sheetName val="Variance"/>
      <sheetName val="Capex"/>
      <sheetName val="BS"/>
      <sheetName val="DG&amp;P"/>
      <sheetName val="E&amp;P"/>
      <sheetName val="E&amp;PPR"/>
      <sheetName val="Dividends"/>
      <sheetName val="Divids"/>
      <sheetName val="ROCE SUM"/>
      <sheetName val="GOM Projects"/>
      <sheetName val="E&amp;P WoodMac"/>
      <sheetName val="Quarterly"/>
      <sheetName val="RD Summary"/>
      <sheetName val="Shell Summary"/>
      <sheetName val="EE&amp;P"/>
      <sheetName val="NEPS"/>
      <sheetName val="Sheet2"/>
      <sheetName val="ROGIC"/>
      <sheetName val="Marketing"/>
      <sheetName val="Chemicals"/>
      <sheetName val="Chemical plants"/>
      <sheetName val="Reserves"/>
      <sheetName val="RefineryMain"/>
      <sheetName val="R&amp;M"/>
      <sheetName val="WACC"/>
      <sheetName val="Sheet1"/>
      <sheetName val="GE Data RD"/>
      <sheetName val="GE Data SC"/>
      <sheetName val="GE Upload"/>
      <sheetName val="GE 2"/>
      <sheetName val="MainCode"/>
      <sheetName val="NY UPLOAD shadow"/>
      <sheetName val="NY UPLOAD"/>
      <sheetName val="Barrett"/>
      <sheetName val="Woodside"/>
      <sheetName val="GTL"/>
      <sheetName val="Fletcher"/>
      <sheetName val="DCF"/>
    </sheetNames>
    <sheetDataSet>
      <sheetData sheetId="0" refreshError="1">
        <row r="5">
          <cell r="U5" t="str">
            <v xml:space="preserve"> 1990</v>
          </cell>
          <cell r="Y5" t="str">
            <v xml:space="preserve"> 1991</v>
          </cell>
          <cell r="AC5" t="str">
            <v xml:space="preserve"> 1992</v>
          </cell>
          <cell r="AG5" t="str">
            <v xml:space="preserve"> 1993</v>
          </cell>
          <cell r="AI5" t="str">
            <v xml:space="preserve"> </v>
          </cell>
          <cell r="AK5">
            <v>1994</v>
          </cell>
          <cell r="AM5" t="str">
            <v xml:space="preserve"> </v>
          </cell>
          <cell r="AO5">
            <v>1995</v>
          </cell>
          <cell r="AQ5" t="str">
            <v xml:space="preserve"> </v>
          </cell>
        </row>
        <row r="123">
          <cell r="U123">
            <v>3708</v>
          </cell>
          <cell r="V123">
            <v>3788</v>
          </cell>
          <cell r="W123">
            <v>3846</v>
          </cell>
          <cell r="X123">
            <v>3774</v>
          </cell>
          <cell r="Y123">
            <v>3783</v>
          </cell>
          <cell r="Z123">
            <v>3797</v>
          </cell>
          <cell r="AA123">
            <v>3894</v>
          </cell>
          <cell r="AB123">
            <v>4081</v>
          </cell>
          <cell r="AC123">
            <v>3948</v>
          </cell>
          <cell r="AD123">
            <v>3853.9550000000004</v>
          </cell>
          <cell r="AE123">
            <v>3978</v>
          </cell>
          <cell r="AF123">
            <v>4162</v>
          </cell>
          <cell r="AG123">
            <v>4026</v>
          </cell>
          <cell r="AH123">
            <v>4131</v>
          </cell>
          <cell r="AI123">
            <v>4185</v>
          </cell>
          <cell r="AJ123">
            <v>4405</v>
          </cell>
          <cell r="AK123">
            <v>4460</v>
          </cell>
          <cell r="AL123">
            <v>4278</v>
          </cell>
          <cell r="AM123">
            <v>4520</v>
          </cell>
          <cell r="AN123">
            <v>4512</v>
          </cell>
          <cell r="AO123">
            <v>4629</v>
          </cell>
          <cell r="AP123">
            <v>4552</v>
          </cell>
          <cell r="AQ123">
            <v>4604</v>
          </cell>
          <cell r="AR123">
            <v>4939</v>
          </cell>
        </row>
        <row r="130">
          <cell r="U130">
            <v>1.5372168284789645</v>
          </cell>
          <cell r="V130">
            <v>2.0327349524815208</v>
          </cell>
          <cell r="W130">
            <v>0.56335586756803613</v>
          </cell>
          <cell r="X130">
            <v>1.5927692398280635</v>
          </cell>
          <cell r="Y130">
            <v>3.4099920697858845</v>
          </cell>
          <cell r="Z130">
            <v>1.960612179205806</v>
          </cell>
          <cell r="AA130">
            <v>1.563659190777835</v>
          </cell>
          <cell r="AB130">
            <v>1.3994391352881921</v>
          </cell>
          <cell r="AC130">
            <v>2.0375999099403357</v>
          </cell>
          <cell r="AD130">
            <v>0.93122231289386848</v>
          </cell>
          <cell r="AE130">
            <v>1.6395732082006593</v>
          </cell>
          <cell r="AF130">
            <v>1.3561855945325432</v>
          </cell>
          <cell r="AG130">
            <v>1.6227852293426066</v>
          </cell>
          <cell r="AH130">
            <v>2.173269856639501</v>
          </cell>
          <cell r="AI130">
            <v>1.8717642373556354</v>
          </cell>
          <cell r="AJ130">
            <v>1.9447597427166099</v>
          </cell>
          <cell r="AK130">
            <v>1.547085201793722</v>
          </cell>
          <cell r="AL130">
            <v>1.5245961248766298</v>
          </cell>
          <cell r="AM130">
            <v>1.5929203539823009</v>
          </cell>
          <cell r="AN130">
            <v>1.4701536643026005</v>
          </cell>
          <cell r="AO130">
            <v>1.4065912964163128</v>
          </cell>
          <cell r="AP130">
            <v>1.425502831478227</v>
          </cell>
          <cell r="AQ130">
            <v>1.561444154841201</v>
          </cell>
          <cell r="AR130">
            <v>0.22271714922048999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ard Paper"/>
      <sheetName val="Annexure 1"/>
      <sheetName val="Annexure 2"/>
      <sheetName val="Annexure 3"/>
      <sheetName val="Annexure 4 (2)"/>
      <sheetName val="Annexure 4"/>
      <sheetName val="Annexure 5"/>
      <sheetName val="Annexure 6"/>
      <sheetName val="Annexure 7"/>
      <sheetName val="Annexure 8"/>
      <sheetName val="Sheet1"/>
      <sheetName val="Annexure 9"/>
      <sheetName val="Annexure 5 (2)"/>
      <sheetName val="Annexure 5a "/>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TRIES OF ADJUSMENTS-GAAP"/>
      <sheetName val="BALANCE SHEET-GAAP"/>
      <sheetName val="INCOME STATEMENT-GAAP"/>
      <sheetName val="D"/>
      <sheetName val="E"/>
      <sheetName val="F"/>
    </sheetNames>
    <sheetDataSet>
      <sheetData sheetId="0" refreshError="1"/>
      <sheetData sheetId="1" refreshError="1">
        <row r="19">
          <cell r="B19" t="str">
            <v xml:space="preserve">   Intercompany Receivables</v>
          </cell>
        </row>
        <row r="20">
          <cell r="B20" t="str">
            <v xml:space="preserve">   Inventory:  Wheat</v>
          </cell>
        </row>
        <row r="21">
          <cell r="B21" t="str">
            <v xml:space="preserve">   Inventory:  Flour</v>
          </cell>
        </row>
        <row r="22">
          <cell r="B22" t="str">
            <v xml:space="preserve">   Inventory:  Millfeed</v>
          </cell>
        </row>
        <row r="23">
          <cell r="B23" t="str">
            <v xml:space="preserve">   Inventory: Goods in transit</v>
          </cell>
        </row>
        <row r="24">
          <cell r="B24" t="str">
            <v xml:space="preserve">   Inventory:  Other Raw Materials</v>
          </cell>
        </row>
      </sheetData>
      <sheetData sheetId="2" refreshError="1"/>
      <sheetData sheetId="3" refreshError="1"/>
      <sheetData sheetId="4" refreshError="1"/>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
      <sheetName val="Capex"/>
      <sheetName val="Disclaimer"/>
      <sheetName val="Quarterly"/>
      <sheetName val="E&amp;P"/>
      <sheetName val="Hamaca"/>
      <sheetName val="R&amp;M"/>
      <sheetName val="Segment ROCE"/>
      <sheetName val="ARCO - Alaska"/>
      <sheetName val="GE Data"/>
      <sheetName val="B Sheet"/>
      <sheetName val="Reserves"/>
      <sheetName val="WACC"/>
      <sheetName val="Valuation"/>
      <sheetName val="NAV"/>
      <sheetName val="Chemical JV"/>
      <sheetName val="Chems"/>
      <sheetName val="GPM"/>
      <sheetName val="PUDS"/>
      <sheetName val="EKOFISK"/>
      <sheetName val="IndexInformation"/>
      <sheetName val="MainCode"/>
      <sheetName val="NY UPLOAD.bak"/>
      <sheetName val="NY UPLOAD Shadow.bak"/>
      <sheetName val="NY UPLOAD"/>
      <sheetName val="NY UPLOAD Shadow"/>
      <sheetName val="Rat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Summary"/>
      <sheetName val="Data"/>
    </sheetNames>
    <sheetDataSet>
      <sheetData sheetId="0" refreshError="1"/>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D"/>
      <sheetName val="ROCE"/>
      <sheetName val="Variance"/>
      <sheetName val="Capex"/>
      <sheetName val="BS"/>
      <sheetName val="DG&amp;P"/>
      <sheetName val="E&amp;P"/>
      <sheetName val="E&amp;PPR"/>
      <sheetName val="ROCE SUM"/>
      <sheetName val="Quarterly"/>
      <sheetName val="RD Summary"/>
      <sheetName val="Shell Summary"/>
      <sheetName val="M&amp;A-Enterprise"/>
      <sheetName val="Dividends"/>
      <sheetName val="GOM Projects"/>
      <sheetName val="E&amp;P WoodMac"/>
      <sheetName val="Divids"/>
      <sheetName val="EE&amp;P"/>
      <sheetName val="NEPS"/>
      <sheetName val="ROGIC"/>
      <sheetName val="Marketing"/>
      <sheetName val="Chemicals"/>
      <sheetName val="Chemical plants"/>
      <sheetName val="Reserves"/>
      <sheetName val="WACC"/>
      <sheetName val="Sheet1"/>
      <sheetName val="GE Data RD"/>
      <sheetName val="GE Data SC"/>
      <sheetName val="GE Upload"/>
      <sheetName val="GE 2"/>
      <sheetName val="MainCode"/>
      <sheetName val="NY UPLOAD shadow"/>
      <sheetName val="NY UPLOAD"/>
      <sheetName val="Barrett"/>
      <sheetName val="Woodside"/>
      <sheetName val="GTL"/>
      <sheetName val="Fletcher"/>
      <sheetName val="DCF"/>
      <sheetName val="MS TEMPLATE Shell"/>
      <sheetName val="MS TEMPLATE RD"/>
      <sheetName val="MS TEMPLATE"/>
      <sheetName val="Disclaimer"/>
      <sheetName val="RefineryMain"/>
      <sheetName val="R&amp;M"/>
      <sheetName val="IndexInformation"/>
      <sheetName val="Sheet2"/>
      <sheetName val="NY UPLOAD.bak"/>
      <sheetName val="NY UPLOAD Shadow.ba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Reckitt"/>
      <sheetName val="Benckiser"/>
      <sheetName val="Reconciliation"/>
      <sheetName val="Categories"/>
      <sheetName val="Countries"/>
      <sheetName val="Definitions"/>
      <sheetName val="FactoryStatement"/>
      <sheetName val="Costs"/>
      <sheetName val="Commodity"/>
      <sheetName val="Wastage"/>
      <sheetName val="Efficiency"/>
      <sheetName val="Overheads1"/>
      <sheetName val="Overheads2"/>
      <sheetName val="Overheads3"/>
      <sheetName val="Overheads4"/>
      <sheetName val="Squeeze"/>
      <sheetName val="Xtrim"/>
      <sheetName val="Freight"/>
      <sheetName val="Warehousing"/>
      <sheetName val="Scorecard"/>
      <sheetName val="Capex1"/>
      <sheetName val="CapEx2"/>
      <sheetName val="Elimination entri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
      <sheetName val="FORECAST2000 (3)"/>
      <sheetName val="CASHFLOW2000 (2)"/>
      <sheetName val="FORECAST2000 (2)"/>
      <sheetName val="p&amp;l2001$"/>
      <sheetName val="forecast99 (2)"/>
      <sheetName val="other sales"/>
      <sheetName val="CASHFLOW2000"/>
      <sheetName val="P&amp;L2001"/>
      <sheetName val="FORECAST2000"/>
      <sheetName val="Consolidated Tshs"/>
      <sheetName val="LMSL Tshs"/>
      <sheetName val="NNSL Tshs"/>
      <sheetName val="SSER Tshs"/>
      <sheetName val="KCAM Tshs"/>
      <sheetName val="Sheet1"/>
      <sheetName val="Consolidated $"/>
      <sheetName val="LMSL $"/>
      <sheetName val="NNSL $"/>
      <sheetName val="SSER $"/>
      <sheetName val="KCAM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er input"/>
      <sheetName val="Multipel-oversigt"/>
      <sheetName val="Stock price chart"/>
      <sheetName val="Peer1"/>
      <sheetName val="Peer2"/>
      <sheetName val="Peer3"/>
      <sheetName val="Peer4"/>
      <sheetName val="Peer5"/>
      <sheetName val="Peer6"/>
      <sheetName val="Peer7"/>
      <sheetName val="Peer8"/>
      <sheetName val="Peer9"/>
      <sheetName val="Peer10"/>
      <sheetName val="Peer11"/>
      <sheetName val="Peer12"/>
      <sheetName val="Peer13"/>
      <sheetName val="Peer14"/>
      <sheetName val="Peer15"/>
      <sheetName val="Peer16"/>
      <sheetName val="Peer17"/>
      <sheetName val="Peer18"/>
      <sheetName val="Peer19"/>
      <sheetName val="Peer20"/>
      <sheetName val="P_E"/>
      <sheetName val="Makrodata"/>
      <sheetName val="Kapitalstruktur"/>
      <sheetName val="Valuedriver"/>
      <sheetName val="Følsomhedsanalyse"/>
      <sheetName val="Følsomhedsgraf"/>
      <sheetName val="Beta"/>
      <sheetName val="Account"/>
    </sheetNames>
    <sheetDataSet>
      <sheetData sheetId="0"/>
      <sheetData sheetId="1"/>
      <sheetData sheetId="2"/>
      <sheetData sheetId="3">
        <row r="3">
          <cell r="AQ3">
            <v>37447.671377314815</v>
          </cell>
        </row>
      </sheetData>
      <sheetData sheetId="4">
        <row r="3">
          <cell r="AQ3">
            <v>36717</v>
          </cell>
        </row>
      </sheetData>
      <sheetData sheetId="5">
        <row r="3">
          <cell r="AQ3">
            <v>36717</v>
          </cell>
        </row>
      </sheetData>
      <sheetData sheetId="6">
        <row r="3">
          <cell r="AQ3">
            <v>36717</v>
          </cell>
        </row>
      </sheetData>
      <sheetData sheetId="7">
        <row r="3">
          <cell r="AQ3">
            <v>36717</v>
          </cell>
        </row>
      </sheetData>
      <sheetData sheetId="8">
        <row r="3">
          <cell r="AQ3">
            <v>37447.67119212963</v>
          </cell>
        </row>
      </sheetData>
      <sheetData sheetId="9">
        <row r="3">
          <cell r="AQ3">
            <v>37447.671215277776</v>
          </cell>
        </row>
      </sheetData>
      <sheetData sheetId="10">
        <row r="3">
          <cell r="AQ3">
            <v>37447.671226851853</v>
          </cell>
        </row>
      </sheetData>
      <sheetData sheetId="11">
        <row r="3">
          <cell r="AQ3">
            <v>36717</v>
          </cell>
        </row>
      </sheetData>
      <sheetData sheetId="12">
        <row r="3">
          <cell r="AQ3">
            <v>36717</v>
          </cell>
        </row>
      </sheetData>
      <sheetData sheetId="13">
        <row r="3">
          <cell r="AQ3">
            <v>36717</v>
          </cell>
        </row>
      </sheetData>
      <sheetData sheetId="14">
        <row r="3">
          <cell r="AQ3">
            <v>36717</v>
          </cell>
        </row>
      </sheetData>
      <sheetData sheetId="15">
        <row r="3">
          <cell r="AQ3">
            <v>37447.670925925922</v>
          </cell>
        </row>
      </sheetData>
      <sheetData sheetId="16">
        <row r="3">
          <cell r="AQ3">
            <v>37447.670983796299</v>
          </cell>
        </row>
      </sheetData>
      <sheetData sheetId="17">
        <row r="3">
          <cell r="AQ3">
            <v>37447.670983796299</v>
          </cell>
        </row>
      </sheetData>
      <sheetData sheetId="18">
        <row r="3">
          <cell r="AQ3">
            <v>37447.56758101852</v>
          </cell>
        </row>
      </sheetData>
      <sheetData sheetId="19">
        <row r="3">
          <cell r="AQ3">
            <v>37447.567604166667</v>
          </cell>
        </row>
      </sheetData>
      <sheetData sheetId="20">
        <row r="3">
          <cell r="AQ3">
            <v>37447.567025462966</v>
          </cell>
        </row>
      </sheetData>
      <sheetData sheetId="21">
        <row r="3">
          <cell r="AQ3">
            <v>37447.47965277778</v>
          </cell>
        </row>
      </sheetData>
      <sheetData sheetId="22">
        <row r="3">
          <cell r="AQ3">
            <v>37447.46329861111</v>
          </cell>
        </row>
      </sheetData>
      <sheetData sheetId="23"/>
      <sheetData sheetId="24"/>
      <sheetData sheetId="25"/>
      <sheetData sheetId="26"/>
      <sheetData sheetId="27"/>
      <sheetData sheetId="28"/>
      <sheetData sheetId="29"/>
      <sheetData sheetId="3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Peer"/>
      <sheetName val="Beregninger"/>
      <sheetName val="Valutakurser"/>
      <sheetName val="Historiske tal"/>
      <sheetName val="Output"/>
      <sheetName val="Selected data"/>
      <sheetName val="Sheet1"/>
      <sheetName val="Bilag peer data"/>
      <sheetName val="Sheet2"/>
      <sheetName val="Sheet3"/>
      <sheetName val="Figur"/>
      <sheetName val="Output - Annualised"/>
      <sheetName val="INPUT TRANSACTION VALU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
      <sheetName val="CASHFLOW2000 (2)"/>
      <sheetName val="FORECAST2000 (2)"/>
      <sheetName val="p&amp;l99$"/>
      <sheetName val="forecast99 (2)"/>
      <sheetName val="other sales"/>
      <sheetName val="CASHFLOW2000"/>
      <sheetName val="P&amp;L2000"/>
      <sheetName val="FORECAST2000"/>
      <sheetName val="Consolidated Tshs"/>
      <sheetName val="LMSL Tshs"/>
      <sheetName val="NNSL Tshs"/>
      <sheetName val="SSER Tshs"/>
      <sheetName val="KCAM Tshs"/>
      <sheetName val="Sheet1"/>
      <sheetName val="Consolidated $"/>
      <sheetName val="LMSL $"/>
      <sheetName val="NNSL $"/>
      <sheetName val="SSER $"/>
      <sheetName val="KCAM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92">
          <cell r="E92" t="str">
            <v>%</v>
          </cell>
        </row>
        <row r="93">
          <cell r="E93">
            <v>1</v>
          </cell>
        </row>
        <row r="95">
          <cell r="E95">
            <v>1</v>
          </cell>
        </row>
        <row r="96">
          <cell r="E96">
            <v>5.7447313576391171E-2</v>
          </cell>
        </row>
        <row r="97">
          <cell r="E97">
            <v>9.528642028663295E-2</v>
          </cell>
        </row>
        <row r="98">
          <cell r="E98">
            <v>0.15273373386302413</v>
          </cell>
        </row>
        <row r="99">
          <cell r="E99">
            <v>0.84726626613697587</v>
          </cell>
        </row>
        <row r="101">
          <cell r="E101">
            <v>0.72264653778263555</v>
          </cell>
        </row>
        <row r="102">
          <cell r="E102">
            <v>0.27735346221736445</v>
          </cell>
        </row>
        <row r="103">
          <cell r="E103">
            <v>1</v>
          </cell>
        </row>
        <row r="104">
          <cell r="E104">
            <v>0.35</v>
          </cell>
        </row>
        <row r="105">
          <cell r="E105">
            <v>0.32000022315234583</v>
          </cell>
        </row>
        <row r="106">
          <cell r="E106">
            <v>0.34167945802555477</v>
          </cell>
        </row>
        <row r="107">
          <cell r="E107">
            <v>0.65832054197444523</v>
          </cell>
        </row>
        <row r="108">
          <cell r="E108">
            <v>3.7254271506310173E-2</v>
          </cell>
        </row>
        <row r="109">
          <cell r="E109">
            <v>0.69557481348075545</v>
          </cell>
        </row>
        <row r="110">
          <cell r="E110">
            <v>0.2365137116533364</v>
          </cell>
        </row>
        <row r="111">
          <cell r="E111">
            <v>0.15188928768772081</v>
          </cell>
        </row>
        <row r="112">
          <cell r="E112">
            <v>0.38840299934105721</v>
          </cell>
        </row>
        <row r="113">
          <cell r="E113">
            <v>0.30717181413969824</v>
          </cell>
        </row>
        <row r="114">
          <cell r="E114">
            <v>0.28899999999999998</v>
          </cell>
        </row>
        <row r="115">
          <cell r="E115">
            <v>0</v>
          </cell>
        </row>
        <row r="116">
          <cell r="E116">
            <v>0.59299999999999997</v>
          </cell>
        </row>
        <row r="117">
          <cell r="E117">
            <v>0.47</v>
          </cell>
        </row>
        <row r="118">
          <cell r="E118">
            <v>3.1E-2</v>
          </cell>
        </row>
        <row r="120">
          <cell r="E120">
            <v>0.61801089179060253</v>
          </cell>
        </row>
        <row r="122">
          <cell r="E122">
            <v>4.6000588837344099E-2</v>
          </cell>
        </row>
        <row r="123">
          <cell r="E123">
            <v>5.9425261515238359E-2</v>
          </cell>
        </row>
        <row r="124">
          <cell r="E124">
            <v>0.10542585035258245</v>
          </cell>
        </row>
        <row r="125">
          <cell r="E125">
            <v>2.6371020623618967E-2</v>
          </cell>
        </row>
        <row r="126">
          <cell r="E126">
            <v>4.1511794703193029E-2</v>
          </cell>
        </row>
        <row r="127">
          <cell r="E127">
            <v>2.7568774325798597E-2</v>
          </cell>
        </row>
        <row r="128">
          <cell r="E128">
            <v>4.8360332186306906E-2</v>
          </cell>
        </row>
        <row r="129">
          <cell r="E129">
            <v>0.24923777219149995</v>
          </cell>
        </row>
        <row r="130">
          <cell r="E130">
            <v>0.36877311959910258</v>
          </cell>
        </row>
        <row r="132">
          <cell r="E132">
            <v>2.5825735831370968E-2</v>
          </cell>
        </row>
        <row r="133">
          <cell r="E133">
            <v>2.5630114011747782E-2</v>
          </cell>
        </row>
        <row r="134">
          <cell r="E134">
            <v>3.2911034602664518E-3</v>
          </cell>
        </row>
        <row r="135">
          <cell r="E135">
            <v>9.6434458033450472E-3</v>
          </cell>
        </row>
        <row r="136">
          <cell r="E136">
            <v>0.30438272049237236</v>
          </cell>
        </row>
        <row r="137">
          <cell r="E137">
            <v>1.2754590360855042E-2</v>
          </cell>
        </row>
        <row r="138">
          <cell r="E138">
            <v>0.29162813013151734</v>
          </cell>
        </row>
        <row r="139">
          <cell r="E139">
            <v>0</v>
          </cell>
        </row>
        <row r="140">
          <cell r="E140">
            <v>0</v>
          </cell>
        </row>
        <row r="141">
          <cell r="E141">
            <v>0.10505620440909245</v>
          </cell>
        </row>
        <row r="142">
          <cell r="E142">
            <v>3.7516782240225584E-3</v>
          </cell>
        </row>
        <row r="144">
          <cell r="E144">
            <v>0.18291496419175726</v>
          </cell>
        </row>
        <row r="148">
          <cell r="E148">
            <v>0.67999712395743461</v>
          </cell>
        </row>
        <row r="151">
          <cell r="E151">
            <v>0.42471958584987057</v>
          </cell>
        </row>
        <row r="153">
          <cell r="E153">
            <v>0.192922119659029</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PET Volumes"/>
      <sheetName val="Data Table"/>
      <sheetName val="NTBA"/>
      <sheetName val="TBA"/>
      <sheetName val="Loan Schedule"/>
      <sheetName val="Fixed Assets"/>
      <sheetName val="Workings"/>
      <sheetName val="Project Appraisal"/>
      <sheetName val="Debt Waterfall"/>
      <sheetName val="Report tables"/>
      <sheetName val="Value Bridge"/>
      <sheetName val="Betas (Coca-Cola)"/>
      <sheetName val="Budget Summary"/>
    </sheetNames>
    <sheetDataSet>
      <sheetData sheetId="0"/>
      <sheetData sheetId="1"/>
      <sheetData sheetId="2"/>
      <sheetData sheetId="3">
        <row r="5">
          <cell r="C5">
            <v>42735</v>
          </cell>
        </row>
        <row r="9">
          <cell r="C9">
            <v>360</v>
          </cell>
        </row>
        <row r="13">
          <cell r="C13">
            <v>42095</v>
          </cell>
        </row>
        <row r="15">
          <cell r="C15">
            <v>42308</v>
          </cell>
        </row>
        <row r="16">
          <cell r="C16">
            <v>42309</v>
          </cell>
        </row>
        <row r="17">
          <cell r="C17">
            <v>0.3</v>
          </cell>
        </row>
        <row r="50">
          <cell r="C50">
            <v>220</v>
          </cell>
        </row>
        <row r="110">
          <cell r="C110">
            <v>30</v>
          </cell>
        </row>
        <row r="111">
          <cell r="C111">
            <v>60</v>
          </cell>
        </row>
        <row r="112">
          <cell r="C112">
            <v>60</v>
          </cell>
        </row>
      </sheetData>
      <sheetData sheetId="4"/>
      <sheetData sheetId="5"/>
      <sheetData sheetId="6"/>
      <sheetData sheetId="7"/>
      <sheetData sheetId="8">
        <row r="46">
          <cell r="C46">
            <v>0.11203988600388445</v>
          </cell>
        </row>
      </sheetData>
      <sheetData sheetId="9"/>
      <sheetData sheetId="10"/>
      <sheetData sheetId="11"/>
      <sheetData sheetId="12"/>
      <sheetData sheetId="1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Tag"/>
      <sheetName val="Summary"/>
      <sheetName val="Charts_1"/>
      <sheetName val="FinStat"/>
      <sheetName val="Scenarios"/>
      <sheetName val="InpC"/>
      <sheetName val="InpS"/>
      <sheetName val="FinStat Act"/>
      <sheetName val="OpRev"/>
      <sheetName val="OpCost"/>
      <sheetName val="Op&amp;Fin_Assets"/>
      <sheetName val="Fxd_Assets"/>
      <sheetName val="Liabilities"/>
      <sheetName val="Equity"/>
      <sheetName val="WorkCap"/>
      <sheetName val="Provisions"/>
      <sheetName val="Membership"/>
      <sheetName val="CashFlow"/>
      <sheetName val="Tax"/>
      <sheetName val="For Graphs"/>
      <sheetName val="Key Ratios"/>
      <sheetName val="Temp"/>
      <sheetName val="Time"/>
      <sheetName val="Historical Tenor"/>
      <sheetName val="Loan&amp;Deposi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2">
          <cell r="F22">
            <v>9.9999999999999995E-7</v>
          </cell>
        </row>
      </sheetData>
      <sheetData sheetId="21"/>
      <sheetData sheetId="22"/>
      <sheetData sheetId="23"/>
      <sheetData sheetId="24"/>
      <sheetData sheetId="25"/>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가동현황"/>
      <sheetName val="Electric"/>
      <sheetName val="STD E"/>
      <sheetName val="Throughput"/>
      <sheetName val="FO"/>
      <sheetName val="FG (CORR)"/>
      <sheetName val="FG (Anal)"/>
      <sheetName val="Manual-Input"/>
      <sheetName val="FG"/>
      <sheetName val="H2보정"/>
      <sheetName val="H2 "/>
      <sheetName val="EFO(Anal)"/>
      <sheetName val="EFO Cal"/>
      <sheetName val="S  Bed"/>
      <sheetName val="Co-Gen"/>
      <sheetName val="Coke"/>
      <sheetName val="Steam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II"/>
      <sheetName val="Raw Data"/>
    </sheetNames>
    <sheetDataSet>
      <sheetData sheetId="0"/>
      <sheetData sheetId="1">
        <row r="67">
          <cell r="I67">
            <v>128502.15379001568</v>
          </cell>
        </row>
        <row r="99">
          <cell r="I99">
            <v>151370.79283008975</v>
          </cell>
        </row>
        <row r="318">
          <cell r="I318">
            <v>51.996081152227191</v>
          </cell>
        </row>
        <row r="567">
          <cell r="I567">
            <v>851.69972826284857</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Error파일"/>
      <sheetName val="Utility"/>
      <sheetName val="Fuel분석"/>
      <sheetName val="E_Summary"/>
      <sheetName val="Target관리"/>
      <sheetName val="Fuel계산"/>
      <sheetName val="H2계산"/>
      <sheetName val="SAP송부"/>
      <sheetName val="FG Balance"/>
      <sheetName val="Matching"/>
    </sheetNames>
    <sheetDataSet>
      <sheetData sheetId="0"/>
      <sheetData sheetId="1"/>
      <sheetData sheetId="2">
        <row r="37">
          <cell r="E37">
            <v>871.90636052025684</v>
          </cell>
        </row>
      </sheetData>
      <sheetData sheetId="3">
        <row r="7">
          <cell r="Q7">
            <v>256.51764537493386</v>
          </cell>
          <cell r="R7">
            <v>331.59480186038547</v>
          </cell>
          <cell r="S7">
            <v>400.47966446346709</v>
          </cell>
          <cell r="T7">
            <v>278.30061268276637</v>
          </cell>
          <cell r="U7">
            <v>2.3160526622086763</v>
          </cell>
          <cell r="V7">
            <v>-0.83920192907923286</v>
          </cell>
          <cell r="Y7">
            <v>35.069935244495134</v>
          </cell>
        </row>
        <row r="8">
          <cell r="Q8">
            <v>251.31788062519496</v>
          </cell>
          <cell r="R8">
            <v>331.31487311257257</v>
          </cell>
          <cell r="S8">
            <v>336.10867190890843</v>
          </cell>
          <cell r="T8">
            <v>270.34537404378256</v>
          </cell>
          <cell r="U8">
            <v>2.0372030408018165</v>
          </cell>
          <cell r="V8">
            <v>-1.3178039957251815</v>
          </cell>
        </row>
        <row r="9">
          <cell r="Q9">
            <v>263.72219196955365</v>
          </cell>
          <cell r="R9">
            <v>310.83526987499658</v>
          </cell>
          <cell r="S9">
            <v>347.54073019027709</v>
          </cell>
          <cell r="T9">
            <v>462.61983317269221</v>
          </cell>
          <cell r="U9">
            <v>2.2395252854459815</v>
          </cell>
          <cell r="V9">
            <v>-0.7293120864364836</v>
          </cell>
          <cell r="AA9">
            <v>90.189557029672073</v>
          </cell>
        </row>
        <row r="10">
          <cell r="Q10">
            <v>242.72603637377421</v>
          </cell>
          <cell r="R10">
            <v>248.75238304138185</v>
          </cell>
          <cell r="S10">
            <v>281.9132411532932</v>
          </cell>
          <cell r="T10">
            <v>517.56553245120574</v>
          </cell>
          <cell r="U10">
            <v>2.0507087954837413</v>
          </cell>
          <cell r="V10">
            <v>-1.3458110236459309</v>
          </cell>
        </row>
        <row r="11">
          <cell r="Q11">
            <v>190.04972313245136</v>
          </cell>
          <cell r="R11">
            <v>199.34206800990634</v>
          </cell>
        </row>
        <row r="12">
          <cell r="Q12">
            <v>408.73963486353557</v>
          </cell>
          <cell r="R12">
            <v>492.66397672229346</v>
          </cell>
          <cell r="S12">
            <v>519.85507988399934</v>
          </cell>
          <cell r="T12">
            <v>593.48886104159885</v>
          </cell>
          <cell r="U12">
            <v>2.5232391290366651</v>
          </cell>
          <cell r="V12">
            <v>-1.1029255145125918</v>
          </cell>
          <cell r="Z12">
            <v>58.780000686645508</v>
          </cell>
          <cell r="AA12">
            <v>508.91953009947042</v>
          </cell>
        </row>
        <row r="13">
          <cell r="Q13">
            <v>433.8091173066033</v>
          </cell>
          <cell r="R13">
            <v>489.97435288959082</v>
          </cell>
        </row>
        <row r="14">
          <cell r="Q14">
            <v>206.209498140547</v>
          </cell>
          <cell r="R14">
            <v>224.63955811924404</v>
          </cell>
        </row>
        <row r="15">
          <cell r="Q15">
            <v>270.16731068293251</v>
          </cell>
          <cell r="R15">
            <v>373.38466457790798</v>
          </cell>
          <cell r="S15">
            <v>398.87945688035751</v>
          </cell>
          <cell r="T15">
            <v>496.36694121890599</v>
          </cell>
          <cell r="U15">
            <v>3.3872046578675508</v>
          </cell>
          <cell r="V15">
            <v>-0.17536318964428371</v>
          </cell>
        </row>
        <row r="19">
          <cell r="Q19">
            <v>248.2202900091807</v>
          </cell>
          <cell r="R19">
            <v>340.45100111431543</v>
          </cell>
          <cell r="S19">
            <v>371.36645636028715</v>
          </cell>
          <cell r="T19">
            <v>461.57390535142684</v>
          </cell>
          <cell r="U19">
            <v>2.3216270788848408</v>
          </cell>
          <cell r="V19">
            <v>-56.861404418945313</v>
          </cell>
          <cell r="Y19">
            <v>44.53623464391913</v>
          </cell>
        </row>
        <row r="20">
          <cell r="Q20">
            <v>239.03208731015522</v>
          </cell>
          <cell r="R20">
            <v>338.14223937988282</v>
          </cell>
          <cell r="S20">
            <v>342.49162487453884</v>
          </cell>
          <cell r="T20">
            <v>486.95961270862153</v>
          </cell>
          <cell r="U20">
            <v>2.6161835744149156</v>
          </cell>
          <cell r="V20">
            <v>-40</v>
          </cell>
        </row>
        <row r="21">
          <cell r="Q21">
            <v>249.50785175429451</v>
          </cell>
          <cell r="R21">
            <v>270.03882474899291</v>
          </cell>
          <cell r="S21">
            <v>272.54291817347206</v>
          </cell>
          <cell r="T21">
            <v>241.12462099923027</v>
          </cell>
          <cell r="U21">
            <v>13.868777207533519</v>
          </cell>
          <cell r="V21">
            <v>-1.7384866072071923</v>
          </cell>
          <cell r="AA21">
            <v>363.88973800641821</v>
          </cell>
        </row>
        <row r="25">
          <cell r="Q25">
            <v>204.53108427259656</v>
          </cell>
          <cell r="R25">
            <v>339.84273234473335</v>
          </cell>
          <cell r="S25">
            <v>496.49871775309242</v>
          </cell>
          <cell r="T25">
            <v>483.24313929875694</v>
          </cell>
          <cell r="U25">
            <v>1.9596794012520049</v>
          </cell>
          <cell r="V25">
            <v>-0.17772440435955003</v>
          </cell>
          <cell r="Y25">
            <v>32.822519270572791</v>
          </cell>
        </row>
        <row r="26">
          <cell r="Q26">
            <v>204.9782065709432</v>
          </cell>
          <cell r="R26">
            <v>340.15455582936607</v>
          </cell>
          <cell r="S26">
            <v>430.85192581812538</v>
          </cell>
          <cell r="T26">
            <v>484.12375407748755</v>
          </cell>
          <cell r="U26">
            <v>1.9642030421230527</v>
          </cell>
          <cell r="V26">
            <v>-0.11548987080540327</v>
          </cell>
        </row>
        <row r="27">
          <cell r="Q27">
            <v>204.54560953246224</v>
          </cell>
          <cell r="R27">
            <v>339.83096399307249</v>
          </cell>
          <cell r="S27">
            <v>429.7431470765008</v>
          </cell>
          <cell r="T27">
            <v>190.33264914618599</v>
          </cell>
          <cell r="U27">
            <v>1.994960732675261</v>
          </cell>
          <cell r="V27">
            <v>-2.4869522329419853</v>
          </cell>
        </row>
        <row r="28">
          <cell r="Q28">
            <v>244.21512994236417</v>
          </cell>
          <cell r="R28">
            <v>310.02494837443032</v>
          </cell>
          <cell r="S28">
            <v>392.965452808804</v>
          </cell>
          <cell r="T28">
            <v>589.25717726813423</v>
          </cell>
          <cell r="U28">
            <v>4.9771150118774834</v>
          </cell>
          <cell r="V28">
            <v>-2.1498515380753411</v>
          </cell>
          <cell r="AA28">
            <v>82.244199455637755</v>
          </cell>
        </row>
        <row r="29">
          <cell r="Q29">
            <v>236.67009705967374</v>
          </cell>
          <cell r="R29">
            <v>237.0698936091529</v>
          </cell>
          <cell r="S29">
            <v>265.83396264182198</v>
          </cell>
          <cell r="T29">
            <v>434.63255406485666</v>
          </cell>
          <cell r="U29">
            <v>3.6606092306474847</v>
          </cell>
          <cell r="V29">
            <v>-2.8041792160934871</v>
          </cell>
        </row>
        <row r="30">
          <cell r="Q30">
            <v>201.75491780175102</v>
          </cell>
          <cell r="R30">
            <v>204.27703109317355</v>
          </cell>
          <cell r="S30">
            <v>234.58927197986179</v>
          </cell>
          <cell r="T30">
            <v>419.68666063944499</v>
          </cell>
          <cell r="U30">
            <v>4.9778546022044292</v>
          </cell>
          <cell r="V30">
            <v>-3.2094077308972677</v>
          </cell>
        </row>
        <row r="31">
          <cell r="Q31">
            <v>423.70895315806069</v>
          </cell>
          <cell r="R31">
            <v>500.15722525914509</v>
          </cell>
          <cell r="S31">
            <v>561.11194951799177</v>
          </cell>
          <cell r="T31">
            <v>912.25834859212239</v>
          </cell>
          <cell r="U31">
            <v>3.1886949750284352</v>
          </cell>
          <cell r="V31">
            <v>-0.94894801378250127</v>
          </cell>
          <cell r="AA31">
            <v>923.64256616399655</v>
          </cell>
        </row>
        <row r="32">
          <cell r="Q32">
            <v>433.42039360470244</v>
          </cell>
          <cell r="R32">
            <v>500.1995604938931</v>
          </cell>
          <cell r="S32">
            <v>531.43375205993652</v>
          </cell>
          <cell r="T32">
            <v>919.2939249886407</v>
          </cell>
          <cell r="U32">
            <v>4.6477874037292271</v>
          </cell>
          <cell r="V32">
            <v>-3.3150937464502124</v>
          </cell>
        </row>
        <row r="33">
          <cell r="Q33">
            <v>459.66179464128282</v>
          </cell>
          <cell r="R33">
            <v>500.20614749060735</v>
          </cell>
          <cell r="S33">
            <v>549.27066133287212</v>
          </cell>
          <cell r="T33">
            <v>945.38945901658803</v>
          </cell>
          <cell r="U33">
            <v>1.7382292159315613</v>
          </cell>
          <cell r="V33">
            <v>-4.3872736076513927</v>
          </cell>
        </row>
        <row r="34">
          <cell r="Q34">
            <v>229.6356758011712</v>
          </cell>
          <cell r="R34">
            <v>242.09879400995044</v>
          </cell>
          <cell r="S34">
            <v>253.45814498265585</v>
          </cell>
          <cell r="T34">
            <v>575.52394137912324</v>
          </cell>
          <cell r="U34">
            <v>5.0084058639076021</v>
          </cell>
          <cell r="V34">
            <v>-2.4068442026774091</v>
          </cell>
        </row>
        <row r="38">
          <cell r="Q38">
            <v>233.41327220598856</v>
          </cell>
          <cell r="R38">
            <v>286.0124733289083</v>
          </cell>
          <cell r="S38">
            <v>304.78776966730754</v>
          </cell>
          <cell r="T38">
            <v>129.98134410116407</v>
          </cell>
          <cell r="U38">
            <v>2.0047231095532578</v>
          </cell>
          <cell r="V38">
            <v>-4.0032134210069978</v>
          </cell>
          <cell r="AA38">
            <v>110.32400671589922</v>
          </cell>
        </row>
        <row r="39">
          <cell r="T39">
            <v>715.68292509714763</v>
          </cell>
          <cell r="U39">
            <v>10.120350634886158</v>
          </cell>
        </row>
        <row r="40">
          <cell r="T40">
            <v>310.92913150787354</v>
          </cell>
          <cell r="U40">
            <v>12.247542878985405</v>
          </cell>
          <cell r="V40">
            <v>-3.2086721709205044</v>
          </cell>
        </row>
        <row r="41">
          <cell r="T41">
            <v>155.17528234587775</v>
          </cell>
          <cell r="U41">
            <v>6.2322331569261022</v>
          </cell>
        </row>
        <row r="45">
          <cell r="Q45">
            <v>227.8641283141242</v>
          </cell>
          <cell r="R45">
            <v>339.18577071295846</v>
          </cell>
          <cell r="S45">
            <v>374.55185519324408</v>
          </cell>
          <cell r="T45">
            <v>245.14724391301473</v>
          </cell>
          <cell r="U45">
            <v>1.4808668990929921</v>
          </cell>
          <cell r="V45">
            <v>-1.7180743157087515</v>
          </cell>
          <cell r="Y45">
            <v>33.56085434691321</v>
          </cell>
        </row>
        <row r="46">
          <cell r="Q46">
            <v>231.69051585197448</v>
          </cell>
          <cell r="R46">
            <v>339.29630441665648</v>
          </cell>
          <cell r="S46">
            <v>372.29816095564098</v>
          </cell>
          <cell r="T46">
            <v>245.14724391301473</v>
          </cell>
          <cell r="U46">
            <v>1.474264646238751</v>
          </cell>
          <cell r="V46">
            <v>-1.7179157172226243</v>
          </cell>
        </row>
        <row r="47">
          <cell r="Q47">
            <v>269.03089302910701</v>
          </cell>
          <cell r="R47">
            <v>322.05863168504504</v>
          </cell>
          <cell r="S47">
            <v>594.57525431315105</v>
          </cell>
          <cell r="T47">
            <v>148.89394748475817</v>
          </cell>
          <cell r="U47">
            <v>0.80588610799362259</v>
          </cell>
          <cell r="V47">
            <v>-5.8097745506299869</v>
          </cell>
          <cell r="AA47">
            <v>180.1637645942659</v>
          </cell>
        </row>
        <row r="48">
          <cell r="Q48">
            <v>269.30168809890745</v>
          </cell>
          <cell r="R48">
            <v>322.07712675730386</v>
          </cell>
          <cell r="S48">
            <v>589.71233910454646</v>
          </cell>
          <cell r="T48">
            <v>148.89394748475817</v>
          </cell>
          <cell r="U48">
            <v>0</v>
          </cell>
          <cell r="V48">
            <v>-7.0774235621094705</v>
          </cell>
        </row>
        <row r="49">
          <cell r="Q49">
            <v>235.15899969206916</v>
          </cell>
          <cell r="R49">
            <v>290.00568777720133</v>
          </cell>
          <cell r="S49">
            <v>310.38726469675697</v>
          </cell>
          <cell r="T49">
            <v>150.01113280720182</v>
          </cell>
          <cell r="U49">
            <v>2.1567075299719969</v>
          </cell>
          <cell r="V49">
            <v>-3.9400273106164403</v>
          </cell>
          <cell r="AA49">
            <v>135.02745883352372</v>
          </cell>
        </row>
        <row r="53">
          <cell r="Q53">
            <v>145.001615301768</v>
          </cell>
          <cell r="R53">
            <v>385.03795228534273</v>
          </cell>
          <cell r="T53">
            <v>180.39877688619825</v>
          </cell>
          <cell r="U53">
            <v>6.5942766687936256</v>
          </cell>
          <cell r="V53">
            <v>-110.48156949679057</v>
          </cell>
        </row>
        <row r="54">
          <cell r="Q54">
            <v>145.00089237954882</v>
          </cell>
          <cell r="R54">
            <v>403.28640192879573</v>
          </cell>
          <cell r="T54">
            <v>229.44878020816378</v>
          </cell>
          <cell r="U54">
            <v>4.5915944328738583</v>
          </cell>
          <cell r="V54">
            <v>-93.237014500300091</v>
          </cell>
        </row>
        <row r="55">
          <cell r="K55">
            <v>1150.6287247939242</v>
          </cell>
          <cell r="T55">
            <v>77.056507152981226</v>
          </cell>
          <cell r="U55">
            <v>19.010702676905527</v>
          </cell>
        </row>
        <row r="56">
          <cell r="Q56">
            <v>138.1992307080163</v>
          </cell>
          <cell r="R56">
            <v>385.00477742089163</v>
          </cell>
          <cell r="T56">
            <v>152.15401921802098</v>
          </cell>
          <cell r="U56">
            <v>3.4817964542243214</v>
          </cell>
        </row>
        <row r="57">
          <cell r="Q57">
            <v>136.75696522924636</v>
          </cell>
          <cell r="R57">
            <v>385.01170685026381</v>
          </cell>
          <cell r="T57">
            <v>155.40397555033366</v>
          </cell>
          <cell r="U57">
            <v>3.4817964542243214</v>
          </cell>
        </row>
        <row r="58">
          <cell r="Q58">
            <v>136.40432525740729</v>
          </cell>
          <cell r="R58">
            <v>385.33520895640055</v>
          </cell>
          <cell r="T58">
            <v>156.23432128164504</v>
          </cell>
          <cell r="U58">
            <v>4.0719178771807085</v>
          </cell>
        </row>
        <row r="62">
          <cell r="T62">
            <v>445.03151338365342</v>
          </cell>
        </row>
        <row r="63">
          <cell r="T63">
            <v>171.50784396065606</v>
          </cell>
          <cell r="U63">
            <v>20.844961801833577</v>
          </cell>
        </row>
        <row r="64">
          <cell r="T64">
            <v>460.23303772608438</v>
          </cell>
          <cell r="U64">
            <v>15.380277526709769</v>
          </cell>
        </row>
        <row r="65">
          <cell r="Q65">
            <v>129.71733624670242</v>
          </cell>
          <cell r="R65">
            <v>346.77309078640405</v>
          </cell>
          <cell r="T65">
            <v>187.97616757816738</v>
          </cell>
          <cell r="U65">
            <v>3.1987582994831931</v>
          </cell>
        </row>
        <row r="66">
          <cell r="Q66">
            <v>138.00261025428773</v>
          </cell>
          <cell r="R66">
            <v>258.0983968840705</v>
          </cell>
          <cell r="T66">
            <v>181.85938884417217</v>
          </cell>
        </row>
        <row r="70">
          <cell r="T70">
            <v>230.80575938754612</v>
          </cell>
        </row>
        <row r="71">
          <cell r="Q71">
            <v>155.00042734146118</v>
          </cell>
          <cell r="R71">
            <v>401.53611255221898</v>
          </cell>
          <cell r="T71">
            <v>230.80575938754612</v>
          </cell>
          <cell r="U71">
            <v>2.13088126414352</v>
          </cell>
        </row>
        <row r="72">
          <cell r="Q72">
            <v>154.99907619158427</v>
          </cell>
          <cell r="R72">
            <v>394.12516483730741</v>
          </cell>
          <cell r="T72">
            <v>230.74854090478686</v>
          </cell>
          <cell r="U72">
            <v>3.8757792267534468</v>
          </cell>
        </row>
        <row r="73">
          <cell r="Q73">
            <v>374.1827787823147</v>
          </cell>
          <cell r="R73">
            <v>395.43329752816095</v>
          </cell>
          <cell r="T73">
            <v>395.43329752816095</v>
          </cell>
          <cell r="U73">
            <v>2.0483141113072634</v>
          </cell>
        </row>
        <row r="77">
          <cell r="Q77">
            <v>417.28551720513235</v>
          </cell>
          <cell r="R77">
            <v>510.03774671554567</v>
          </cell>
          <cell r="T77">
            <v>877.89826984405522</v>
          </cell>
          <cell r="U77">
            <v>2.6415254582961398</v>
          </cell>
          <cell r="V77">
            <v>-5.9798371053818196</v>
          </cell>
          <cell r="Z77">
            <v>58.780000686645508</v>
          </cell>
          <cell r="AA77">
            <v>321.10310290198032</v>
          </cell>
        </row>
        <row r="78">
          <cell r="Q78">
            <v>385.94644995795358</v>
          </cell>
          <cell r="R78">
            <v>505.94744131300183</v>
          </cell>
          <cell r="T78">
            <v>876.74858491685654</v>
          </cell>
          <cell r="U78">
            <v>2.3364694056825503</v>
          </cell>
          <cell r="V78">
            <v>-5.9798371053818196</v>
          </cell>
        </row>
        <row r="79">
          <cell r="Q79">
            <v>440.55651253594294</v>
          </cell>
          <cell r="R79">
            <v>521.55754767523877</v>
          </cell>
          <cell r="T79">
            <v>874.07971280415848</v>
          </cell>
          <cell r="U79">
            <v>2.5719568591564892</v>
          </cell>
          <cell r="V79">
            <v>-5.9798371053818196</v>
          </cell>
        </row>
        <row r="80">
          <cell r="Q80">
            <v>462.92500677108762</v>
          </cell>
          <cell r="R80">
            <v>504.67266405953302</v>
          </cell>
          <cell r="T80">
            <v>832.63356073167586</v>
          </cell>
          <cell r="U80">
            <v>2.4367166990207303</v>
          </cell>
          <cell r="V80">
            <v>-5.9798371053818196</v>
          </cell>
        </row>
        <row r="81">
          <cell r="Q81">
            <v>234.33020080460443</v>
          </cell>
          <cell r="R81">
            <v>244.97576482031081</v>
          </cell>
          <cell r="S81">
            <v>421.41539925469294</v>
          </cell>
          <cell r="T81">
            <v>346.04781108432348</v>
          </cell>
          <cell r="U81">
            <v>2.0667761787358256</v>
          </cell>
          <cell r="V81">
            <v>0</v>
          </cell>
        </row>
        <row r="82">
          <cell r="Q82">
            <v>270.16214638815984</v>
          </cell>
          <cell r="R82">
            <v>315.00117050806682</v>
          </cell>
          <cell r="S82">
            <v>404.61540755165947</v>
          </cell>
          <cell r="T82">
            <v>840.00377472771538</v>
          </cell>
          <cell r="U82">
            <v>2.5512913890182971</v>
          </cell>
          <cell r="V82">
            <v>-9.0215395390987396</v>
          </cell>
          <cell r="AA82">
            <v>81.689830280530344</v>
          </cell>
        </row>
        <row r="83">
          <cell r="Q83">
            <v>196.45119952625697</v>
          </cell>
          <cell r="R83">
            <v>200.12281804084779</v>
          </cell>
          <cell r="S83">
            <v>331.5266804907057</v>
          </cell>
          <cell r="T83">
            <v>229.02621216244168</v>
          </cell>
          <cell r="U83">
            <v>2.807715967297554</v>
          </cell>
          <cell r="V83">
            <v>-1.7810559961530896</v>
          </cell>
        </row>
        <row r="84">
          <cell r="Q84">
            <v>448.45495677524144</v>
          </cell>
          <cell r="R84">
            <v>535.61590563456218</v>
          </cell>
          <cell r="S84">
            <v>574.73739153544113</v>
          </cell>
          <cell r="T84">
            <v>861.36785789065891</v>
          </cell>
          <cell r="U84">
            <v>2.5579698010451262</v>
          </cell>
          <cell r="V84">
            <v>-2.9167645202742682</v>
          </cell>
          <cell r="Z84">
            <v>52.373334248860672</v>
          </cell>
          <cell r="AA84">
            <v>265.70084164495438</v>
          </cell>
        </row>
        <row r="85">
          <cell r="Q85">
            <v>435.63837854597301</v>
          </cell>
          <cell r="R85">
            <v>541.45289234585232</v>
          </cell>
          <cell r="S85">
            <v>573.1044214460585</v>
          </cell>
          <cell r="T85">
            <v>871.52043251461453</v>
          </cell>
          <cell r="U85">
            <v>2.5121553909447458</v>
          </cell>
          <cell r="V85">
            <v>-2.9167645202742682</v>
          </cell>
        </row>
        <row r="86">
          <cell r="Q86">
            <v>443.1733379046122</v>
          </cell>
          <cell r="R86">
            <v>540.6279740015666</v>
          </cell>
          <cell r="S86">
            <v>580.8949768702189</v>
          </cell>
          <cell r="T86">
            <v>842.48744386037185</v>
          </cell>
          <cell r="U86">
            <v>2.5353677145308917</v>
          </cell>
          <cell r="V86">
            <v>-2.9167645202742682</v>
          </cell>
        </row>
        <row r="87">
          <cell r="Q87">
            <v>475.88955384360418</v>
          </cell>
          <cell r="R87">
            <v>540.05894713931616</v>
          </cell>
          <cell r="S87">
            <v>585.74451325734458</v>
          </cell>
          <cell r="T87">
            <v>796.8056348800659</v>
          </cell>
          <cell r="U87">
            <v>2.460818984359503</v>
          </cell>
          <cell r="V87">
            <v>-2.9167645202742682</v>
          </cell>
        </row>
        <row r="88">
          <cell r="Q88">
            <v>220.37938085661995</v>
          </cell>
          <cell r="R88">
            <v>232.00048546791078</v>
          </cell>
          <cell r="S88">
            <v>249.74542298846774</v>
          </cell>
          <cell r="T88">
            <v>636.91010362837051</v>
          </cell>
          <cell r="U88">
            <v>2.3716649011605315</v>
          </cell>
          <cell r="V88">
            <v>-9.8111481404966785</v>
          </cell>
        </row>
        <row r="89">
          <cell r="Q89">
            <v>271.90056070751615</v>
          </cell>
          <cell r="R89">
            <v>315.00079816182455</v>
          </cell>
          <cell r="S89">
            <v>371.32072461446126</v>
          </cell>
          <cell r="T89">
            <v>847.73420013851592</v>
          </cell>
          <cell r="U89">
            <v>2.1517803274922902</v>
          </cell>
          <cell r="V89">
            <v>-6.5367922774619522</v>
          </cell>
          <cell r="AA89">
            <v>76.395800029583285</v>
          </cell>
        </row>
        <row r="90">
          <cell r="Q90">
            <v>200.34686072667441</v>
          </cell>
          <cell r="R90">
            <v>204.13732197019789</v>
          </cell>
          <cell r="S90">
            <v>235.872739066018</v>
          </cell>
          <cell r="T90">
            <v>250.53551612430149</v>
          </cell>
          <cell r="U90">
            <v>2.3607222773134708</v>
          </cell>
          <cell r="V90">
            <v>-6.5367922774619522</v>
          </cell>
        </row>
        <row r="94">
          <cell r="Q94">
            <v>421.9422803031074</v>
          </cell>
          <cell r="R94">
            <v>471.99657995435928</v>
          </cell>
          <cell r="S94">
            <v>472.04370758268567</v>
          </cell>
          <cell r="T94">
            <v>347.95725954903497</v>
          </cell>
          <cell r="U94">
            <v>2.477237287743224</v>
          </cell>
          <cell r="V94">
            <v>-3.1305424320201078</v>
          </cell>
        </row>
        <row r="95">
          <cell r="Q95">
            <v>206.93750700950622</v>
          </cell>
          <cell r="R95">
            <v>212.67091599570381</v>
          </cell>
          <cell r="S95">
            <v>371.84551507102117</v>
          </cell>
          <cell r="T95">
            <v>300.74332535001969</v>
          </cell>
          <cell r="U95">
            <v>2.1775150371922387</v>
          </cell>
          <cell r="V95">
            <v>-3.1305424320201078</v>
          </cell>
        </row>
        <row r="96">
          <cell r="Q96">
            <v>207.77020700772604</v>
          </cell>
          <cell r="R96">
            <v>209.45258445739745</v>
          </cell>
          <cell r="S96">
            <v>289.94285025066802</v>
          </cell>
          <cell r="T96">
            <v>228.9254147582584</v>
          </cell>
          <cell r="U96">
            <v>1.9176711361441348</v>
          </cell>
          <cell r="V96">
            <v>-1.9972583203886947</v>
          </cell>
        </row>
        <row r="97">
          <cell r="Q97">
            <v>258.20698171191748</v>
          </cell>
          <cell r="R97">
            <v>284.97052493625216</v>
          </cell>
          <cell r="S97">
            <v>388.33766654332481</v>
          </cell>
          <cell r="T97">
            <v>708.25718010796436</v>
          </cell>
          <cell r="U97">
            <v>2.0893448262578911</v>
          </cell>
          <cell r="V97">
            <v>-3.0134321805503634</v>
          </cell>
        </row>
        <row r="98">
          <cell r="Q98">
            <v>258.20698171191748</v>
          </cell>
          <cell r="R98">
            <v>285.80480551189845</v>
          </cell>
          <cell r="S98">
            <v>337.96956618626911</v>
          </cell>
          <cell r="T98">
            <v>754.15528585645893</v>
          </cell>
          <cell r="U98">
            <v>2.0786445438861847</v>
          </cell>
          <cell r="V98">
            <v>-3.0202501624822617</v>
          </cell>
        </row>
        <row r="99">
          <cell r="Q99">
            <v>304.60807465447317</v>
          </cell>
          <cell r="R99">
            <v>368.99779219097559</v>
          </cell>
          <cell r="S99">
            <v>489.76974534988403</v>
          </cell>
          <cell r="T99">
            <v>375.95021729999121</v>
          </cell>
          <cell r="U99">
            <v>2.3387412880857785</v>
          </cell>
          <cell r="V99">
            <v>-16.694653975963593</v>
          </cell>
        </row>
        <row r="100">
          <cell r="Q100">
            <v>221.3058852619595</v>
          </cell>
          <cell r="R100">
            <v>222.80702968703375</v>
          </cell>
          <cell r="S100">
            <v>444.88316314485337</v>
          </cell>
          <cell r="T100">
            <v>222.95485610961913</v>
          </cell>
          <cell r="U100">
            <v>1.5268245763248867</v>
          </cell>
          <cell r="V100">
            <v>-16.694653975963593</v>
          </cell>
        </row>
        <row r="101">
          <cell r="Q101">
            <v>245.40842008590698</v>
          </cell>
          <cell r="R101">
            <v>269.96984034644231</v>
          </cell>
          <cell r="S101">
            <v>331.70191285875109</v>
          </cell>
          <cell r="T101">
            <v>816.69947516123455</v>
          </cell>
          <cell r="U101">
            <v>2.1725144010451105</v>
          </cell>
          <cell r="V101">
            <v>-2.9993200331098504</v>
          </cell>
        </row>
        <row r="102">
          <cell r="Q102">
            <v>245.40842008590698</v>
          </cell>
          <cell r="R102">
            <v>271.36108423868814</v>
          </cell>
          <cell r="S102">
            <v>378.7111074977451</v>
          </cell>
          <cell r="T102">
            <v>810.64699827829998</v>
          </cell>
          <cell r="U102">
            <v>2.1891914405756525</v>
          </cell>
          <cell r="V102">
            <v>-3.0043182536959647</v>
          </cell>
        </row>
        <row r="103">
          <cell r="Q103">
            <v>351.74413539038767</v>
          </cell>
          <cell r="R103">
            <v>386.98616611692643</v>
          </cell>
          <cell r="S103">
            <v>-85704.44140625</v>
          </cell>
          <cell r="T103">
            <v>731.01506390041777</v>
          </cell>
          <cell r="U103">
            <v>3.3730254306561416</v>
          </cell>
          <cell r="V103">
            <v>-10.992357645101018</v>
          </cell>
        </row>
        <row r="104">
          <cell r="Q104">
            <v>217.19966348542107</v>
          </cell>
          <cell r="R104">
            <v>221.35828975041707</v>
          </cell>
          <cell r="S104">
            <v>274.50322145885889</v>
          </cell>
          <cell r="T104">
            <v>260.32631755405004</v>
          </cell>
          <cell r="U104">
            <v>2.5503077079852421</v>
          </cell>
          <cell r="V104">
            <v>-13.891795995169216</v>
          </cell>
        </row>
      </sheetData>
      <sheetData sheetId="4"/>
      <sheetData sheetId="5"/>
      <sheetData sheetId="6"/>
      <sheetData sheetId="7"/>
      <sheetData sheetId="8"/>
      <sheetData sheetId="9"/>
      <sheetData sheetId="10"/>
    </sheetDataSet>
  </externalBook>
</externalLink>
</file>

<file path=xl/persons/person.xml><?xml version="1.0" encoding="utf-8"?>
<personList xmlns="http://schemas.microsoft.com/office/spreadsheetml/2018/threadedcomments" xmlns:x="http://schemas.openxmlformats.org/spreadsheetml/2006/main">
  <person displayName="Charles Nzioka" id="{E69F1205-7DE6-492E-ABF1-3BA833D35C51}" userId="Charles Nzioka"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4" dT="2025-11-14T07:27:04.31" personId="{E69F1205-7DE6-492E-ABF1-3BA833D35C51}" id="{20FFD1E0-56EE-4450-A97D-0D700ECE991A}">
    <text>Confirm MAT term loan</text>
  </threadedComment>
  <threadedComment ref="E45" dT="2025-11-14T07:40:37.93" personId="{E69F1205-7DE6-492E-ABF1-3BA833D35C51}" id="{EDFA2BDD-DAFB-4371-B5F8-4FB51A8F6748}">
    <text>Confirm term loan interest rate</text>
  </threadedComment>
</ThreadedComments>
</file>

<file path=xl/threadedComments/threadedComment2.xml><?xml version="1.0" encoding="utf-8"?>
<ThreadedComments xmlns="http://schemas.microsoft.com/office/spreadsheetml/2018/threadedcomments" xmlns:x="http://schemas.openxmlformats.org/spreadsheetml/2006/main">
  <threadedComment ref="E66" dT="2025-11-14T07:18:19.67" personId="{E69F1205-7DE6-492E-ABF1-3BA833D35C51}" id="{BC5C3F4B-1C50-4783-83BE-91E6043F0122}">
    <text>Confirm term loan drawdown profile</text>
  </threadedComment>
  <threadedComment ref="E67" dT="2025-11-14T07:22:54.63" personId="{E69F1205-7DE6-492E-ABF1-3BA833D35C51}" id="{ED535FDA-5FE0-4D44-8DF7-BD2258ECF191}">
    <text>Confirm term loan payment profile</text>
  </threadedComment>
</ThreadedComment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charlesnzioka1@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heetViews>
  <sheetFormatPr defaultRowHeight="12.75"/>
  <sheetData>
    <row r="1" spans="1:1">
      <c r="A1" t="s">
        <v>41</v>
      </c>
    </row>
  </sheetData>
  <phoneticPr fontId="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3" tint="0.39997558519241921"/>
  </sheetPr>
  <dimension ref="A2:I29"/>
  <sheetViews>
    <sheetView topLeftCell="A3" zoomScaleNormal="100" workbookViewId="0">
      <selection activeCell="D28" sqref="D28"/>
    </sheetView>
  </sheetViews>
  <sheetFormatPr defaultRowHeight="12.75"/>
  <cols>
    <col min="1" max="1" width="9.140625" style="255"/>
    <col min="2" max="2" width="41.5703125" style="255" bestFit="1" customWidth="1"/>
    <col min="3" max="3" width="37.28515625" style="255" bestFit="1" customWidth="1"/>
    <col min="4" max="6" width="9.140625" style="255"/>
    <col min="7" max="7" width="14.42578125" style="255" customWidth="1"/>
    <col min="8" max="8" width="29.28515625" style="255" bestFit="1" customWidth="1"/>
    <col min="9" max="257" width="9.140625" style="255"/>
    <col min="258" max="258" width="41.5703125" style="255" bestFit="1" customWidth="1"/>
    <col min="259" max="259" width="37.28515625" style="255" bestFit="1" customWidth="1"/>
    <col min="260" max="262" width="9.140625" style="255"/>
    <col min="263" max="263" width="13.5703125" style="255" bestFit="1" customWidth="1"/>
    <col min="264" max="264" width="29.28515625" style="255" bestFit="1" customWidth="1"/>
    <col min="265" max="513" width="9.140625" style="255"/>
    <col min="514" max="514" width="41.5703125" style="255" bestFit="1" customWidth="1"/>
    <col min="515" max="515" width="37.28515625" style="255" bestFit="1" customWidth="1"/>
    <col min="516" max="518" width="9.140625" style="255"/>
    <col min="519" max="519" width="13.5703125" style="255" bestFit="1" customWidth="1"/>
    <col min="520" max="520" width="29.28515625" style="255" bestFit="1" customWidth="1"/>
    <col min="521" max="769" width="9.140625" style="255"/>
    <col min="770" max="770" width="41.5703125" style="255" bestFit="1" customWidth="1"/>
    <col min="771" max="771" width="37.28515625" style="255" bestFit="1" customWidth="1"/>
    <col min="772" max="774" width="9.140625" style="255"/>
    <col min="775" max="775" width="13.5703125" style="255" bestFit="1" customWidth="1"/>
    <col min="776" max="776" width="29.28515625" style="255" bestFit="1" customWidth="1"/>
    <col min="777" max="1025" width="9.140625" style="255"/>
    <col min="1026" max="1026" width="41.5703125" style="255" bestFit="1" customWidth="1"/>
    <col min="1027" max="1027" width="37.28515625" style="255" bestFit="1" customWidth="1"/>
    <col min="1028" max="1030" width="9.140625" style="255"/>
    <col min="1031" max="1031" width="13.5703125" style="255" bestFit="1" customWidth="1"/>
    <col min="1032" max="1032" width="29.28515625" style="255" bestFit="1" customWidth="1"/>
    <col min="1033" max="1281" width="9.140625" style="255"/>
    <col min="1282" max="1282" width="41.5703125" style="255" bestFit="1" customWidth="1"/>
    <col min="1283" max="1283" width="37.28515625" style="255" bestFit="1" customWidth="1"/>
    <col min="1284" max="1286" width="9.140625" style="255"/>
    <col min="1287" max="1287" width="13.5703125" style="255" bestFit="1" customWidth="1"/>
    <col min="1288" max="1288" width="29.28515625" style="255" bestFit="1" customWidth="1"/>
    <col min="1289" max="1537" width="9.140625" style="255"/>
    <col min="1538" max="1538" width="41.5703125" style="255" bestFit="1" customWidth="1"/>
    <col min="1539" max="1539" width="37.28515625" style="255" bestFit="1" customWidth="1"/>
    <col min="1540" max="1542" width="9.140625" style="255"/>
    <col min="1543" max="1543" width="13.5703125" style="255" bestFit="1" customWidth="1"/>
    <col min="1544" max="1544" width="29.28515625" style="255" bestFit="1" customWidth="1"/>
    <col min="1545" max="1793" width="9.140625" style="255"/>
    <col min="1794" max="1794" width="41.5703125" style="255" bestFit="1" customWidth="1"/>
    <col min="1795" max="1795" width="37.28515625" style="255" bestFit="1" customWidth="1"/>
    <col min="1796" max="1798" width="9.140625" style="255"/>
    <col min="1799" max="1799" width="13.5703125" style="255" bestFit="1" customWidth="1"/>
    <col min="1800" max="1800" width="29.28515625" style="255" bestFit="1" customWidth="1"/>
    <col min="1801" max="2049" width="9.140625" style="255"/>
    <col min="2050" max="2050" width="41.5703125" style="255" bestFit="1" customWidth="1"/>
    <col min="2051" max="2051" width="37.28515625" style="255" bestFit="1" customWidth="1"/>
    <col min="2052" max="2054" width="9.140625" style="255"/>
    <col min="2055" max="2055" width="13.5703125" style="255" bestFit="1" customWidth="1"/>
    <col min="2056" max="2056" width="29.28515625" style="255" bestFit="1" customWidth="1"/>
    <col min="2057" max="2305" width="9.140625" style="255"/>
    <col min="2306" max="2306" width="41.5703125" style="255" bestFit="1" customWidth="1"/>
    <col min="2307" max="2307" width="37.28515625" style="255" bestFit="1" customWidth="1"/>
    <col min="2308" max="2310" width="9.140625" style="255"/>
    <col min="2311" max="2311" width="13.5703125" style="255" bestFit="1" customWidth="1"/>
    <col min="2312" max="2312" width="29.28515625" style="255" bestFit="1" customWidth="1"/>
    <col min="2313" max="2561" width="9.140625" style="255"/>
    <col min="2562" max="2562" width="41.5703125" style="255" bestFit="1" customWidth="1"/>
    <col min="2563" max="2563" width="37.28515625" style="255" bestFit="1" customWidth="1"/>
    <col min="2564" max="2566" width="9.140625" style="255"/>
    <col min="2567" max="2567" width="13.5703125" style="255" bestFit="1" customWidth="1"/>
    <col min="2568" max="2568" width="29.28515625" style="255" bestFit="1" customWidth="1"/>
    <col min="2569" max="2817" width="9.140625" style="255"/>
    <col min="2818" max="2818" width="41.5703125" style="255" bestFit="1" customWidth="1"/>
    <col min="2819" max="2819" width="37.28515625" style="255" bestFit="1" customWidth="1"/>
    <col min="2820" max="2822" width="9.140625" style="255"/>
    <col min="2823" max="2823" width="13.5703125" style="255" bestFit="1" customWidth="1"/>
    <col min="2824" max="2824" width="29.28515625" style="255" bestFit="1" customWidth="1"/>
    <col min="2825" max="3073" width="9.140625" style="255"/>
    <col min="3074" max="3074" width="41.5703125" style="255" bestFit="1" customWidth="1"/>
    <col min="3075" max="3075" width="37.28515625" style="255" bestFit="1" customWidth="1"/>
    <col min="3076" max="3078" width="9.140625" style="255"/>
    <col min="3079" max="3079" width="13.5703125" style="255" bestFit="1" customWidth="1"/>
    <col min="3080" max="3080" width="29.28515625" style="255" bestFit="1" customWidth="1"/>
    <col min="3081" max="3329" width="9.140625" style="255"/>
    <col min="3330" max="3330" width="41.5703125" style="255" bestFit="1" customWidth="1"/>
    <col min="3331" max="3331" width="37.28515625" style="255" bestFit="1" customWidth="1"/>
    <col min="3332" max="3334" width="9.140625" style="255"/>
    <col min="3335" max="3335" width="13.5703125" style="255" bestFit="1" customWidth="1"/>
    <col min="3336" max="3336" width="29.28515625" style="255" bestFit="1" customWidth="1"/>
    <col min="3337" max="3585" width="9.140625" style="255"/>
    <col min="3586" max="3586" width="41.5703125" style="255" bestFit="1" customWidth="1"/>
    <col min="3587" max="3587" width="37.28515625" style="255" bestFit="1" customWidth="1"/>
    <col min="3588" max="3590" width="9.140625" style="255"/>
    <col min="3591" max="3591" width="13.5703125" style="255" bestFit="1" customWidth="1"/>
    <col min="3592" max="3592" width="29.28515625" style="255" bestFit="1" customWidth="1"/>
    <col min="3593" max="3841" width="9.140625" style="255"/>
    <col min="3842" max="3842" width="41.5703125" style="255" bestFit="1" customWidth="1"/>
    <col min="3843" max="3843" width="37.28515625" style="255" bestFit="1" customWidth="1"/>
    <col min="3844" max="3846" width="9.140625" style="255"/>
    <col min="3847" max="3847" width="13.5703125" style="255" bestFit="1" customWidth="1"/>
    <col min="3848" max="3848" width="29.28515625" style="255" bestFit="1" customWidth="1"/>
    <col min="3849" max="4097" width="9.140625" style="255"/>
    <col min="4098" max="4098" width="41.5703125" style="255" bestFit="1" customWidth="1"/>
    <col min="4099" max="4099" width="37.28515625" style="255" bestFit="1" customWidth="1"/>
    <col min="4100" max="4102" width="9.140625" style="255"/>
    <col min="4103" max="4103" width="13.5703125" style="255" bestFit="1" customWidth="1"/>
    <col min="4104" max="4104" width="29.28515625" style="255" bestFit="1" customWidth="1"/>
    <col min="4105" max="4353" width="9.140625" style="255"/>
    <col min="4354" max="4354" width="41.5703125" style="255" bestFit="1" customWidth="1"/>
    <col min="4355" max="4355" width="37.28515625" style="255" bestFit="1" customWidth="1"/>
    <col min="4356" max="4358" width="9.140625" style="255"/>
    <col min="4359" max="4359" width="13.5703125" style="255" bestFit="1" customWidth="1"/>
    <col min="4360" max="4360" width="29.28515625" style="255" bestFit="1" customWidth="1"/>
    <col min="4361" max="4609" width="9.140625" style="255"/>
    <col min="4610" max="4610" width="41.5703125" style="255" bestFit="1" customWidth="1"/>
    <col min="4611" max="4611" width="37.28515625" style="255" bestFit="1" customWidth="1"/>
    <col min="4612" max="4614" width="9.140625" style="255"/>
    <col min="4615" max="4615" width="13.5703125" style="255" bestFit="1" customWidth="1"/>
    <col min="4616" max="4616" width="29.28515625" style="255" bestFit="1" customWidth="1"/>
    <col min="4617" max="4865" width="9.140625" style="255"/>
    <col min="4866" max="4866" width="41.5703125" style="255" bestFit="1" customWidth="1"/>
    <col min="4867" max="4867" width="37.28515625" style="255" bestFit="1" customWidth="1"/>
    <col min="4868" max="4870" width="9.140625" style="255"/>
    <col min="4871" max="4871" width="13.5703125" style="255" bestFit="1" customWidth="1"/>
    <col min="4872" max="4872" width="29.28515625" style="255" bestFit="1" customWidth="1"/>
    <col min="4873" max="5121" width="9.140625" style="255"/>
    <col min="5122" max="5122" width="41.5703125" style="255" bestFit="1" customWidth="1"/>
    <col min="5123" max="5123" width="37.28515625" style="255" bestFit="1" customWidth="1"/>
    <col min="5124" max="5126" width="9.140625" style="255"/>
    <col min="5127" max="5127" width="13.5703125" style="255" bestFit="1" customWidth="1"/>
    <col min="5128" max="5128" width="29.28515625" style="255" bestFit="1" customWidth="1"/>
    <col min="5129" max="5377" width="9.140625" style="255"/>
    <col min="5378" max="5378" width="41.5703125" style="255" bestFit="1" customWidth="1"/>
    <col min="5379" max="5379" width="37.28515625" style="255" bestFit="1" customWidth="1"/>
    <col min="5380" max="5382" width="9.140625" style="255"/>
    <col min="5383" max="5383" width="13.5703125" style="255" bestFit="1" customWidth="1"/>
    <col min="5384" max="5384" width="29.28515625" style="255" bestFit="1" customWidth="1"/>
    <col min="5385" max="5633" width="9.140625" style="255"/>
    <col min="5634" max="5634" width="41.5703125" style="255" bestFit="1" customWidth="1"/>
    <col min="5635" max="5635" width="37.28515625" style="255" bestFit="1" customWidth="1"/>
    <col min="5636" max="5638" width="9.140625" style="255"/>
    <col min="5639" max="5639" width="13.5703125" style="255" bestFit="1" customWidth="1"/>
    <col min="5640" max="5640" width="29.28515625" style="255" bestFit="1" customWidth="1"/>
    <col min="5641" max="5889" width="9.140625" style="255"/>
    <col min="5890" max="5890" width="41.5703125" style="255" bestFit="1" customWidth="1"/>
    <col min="5891" max="5891" width="37.28515625" style="255" bestFit="1" customWidth="1"/>
    <col min="5892" max="5894" width="9.140625" style="255"/>
    <col min="5895" max="5895" width="13.5703125" style="255" bestFit="1" customWidth="1"/>
    <col min="5896" max="5896" width="29.28515625" style="255" bestFit="1" customWidth="1"/>
    <col min="5897" max="6145" width="9.140625" style="255"/>
    <col min="6146" max="6146" width="41.5703125" style="255" bestFit="1" customWidth="1"/>
    <col min="6147" max="6147" width="37.28515625" style="255" bestFit="1" customWidth="1"/>
    <col min="6148" max="6150" width="9.140625" style="255"/>
    <col min="6151" max="6151" width="13.5703125" style="255" bestFit="1" customWidth="1"/>
    <col min="6152" max="6152" width="29.28515625" style="255" bestFit="1" customWidth="1"/>
    <col min="6153" max="6401" width="9.140625" style="255"/>
    <col min="6402" max="6402" width="41.5703125" style="255" bestFit="1" customWidth="1"/>
    <col min="6403" max="6403" width="37.28515625" style="255" bestFit="1" customWidth="1"/>
    <col min="6404" max="6406" width="9.140625" style="255"/>
    <col min="6407" max="6407" width="13.5703125" style="255" bestFit="1" customWidth="1"/>
    <col min="6408" max="6408" width="29.28515625" style="255" bestFit="1" customWidth="1"/>
    <col min="6409" max="6657" width="9.140625" style="255"/>
    <col min="6658" max="6658" width="41.5703125" style="255" bestFit="1" customWidth="1"/>
    <col min="6659" max="6659" width="37.28515625" style="255" bestFit="1" customWidth="1"/>
    <col min="6660" max="6662" width="9.140625" style="255"/>
    <col min="6663" max="6663" width="13.5703125" style="255" bestFit="1" customWidth="1"/>
    <col min="6664" max="6664" width="29.28515625" style="255" bestFit="1" customWidth="1"/>
    <col min="6665" max="6913" width="9.140625" style="255"/>
    <col min="6914" max="6914" width="41.5703125" style="255" bestFit="1" customWidth="1"/>
    <col min="6915" max="6915" width="37.28515625" style="255" bestFit="1" customWidth="1"/>
    <col min="6916" max="6918" width="9.140625" style="255"/>
    <col min="6919" max="6919" width="13.5703125" style="255" bestFit="1" customWidth="1"/>
    <col min="6920" max="6920" width="29.28515625" style="255" bestFit="1" customWidth="1"/>
    <col min="6921" max="7169" width="9.140625" style="255"/>
    <col min="7170" max="7170" width="41.5703125" style="255" bestFit="1" customWidth="1"/>
    <col min="7171" max="7171" width="37.28515625" style="255" bestFit="1" customWidth="1"/>
    <col min="7172" max="7174" width="9.140625" style="255"/>
    <col min="7175" max="7175" width="13.5703125" style="255" bestFit="1" customWidth="1"/>
    <col min="7176" max="7176" width="29.28515625" style="255" bestFit="1" customWidth="1"/>
    <col min="7177" max="7425" width="9.140625" style="255"/>
    <col min="7426" max="7426" width="41.5703125" style="255" bestFit="1" customWidth="1"/>
    <col min="7427" max="7427" width="37.28515625" style="255" bestFit="1" customWidth="1"/>
    <col min="7428" max="7430" width="9.140625" style="255"/>
    <col min="7431" max="7431" width="13.5703125" style="255" bestFit="1" customWidth="1"/>
    <col min="7432" max="7432" width="29.28515625" style="255" bestFit="1" customWidth="1"/>
    <col min="7433" max="7681" width="9.140625" style="255"/>
    <col min="7682" max="7682" width="41.5703125" style="255" bestFit="1" customWidth="1"/>
    <col min="7683" max="7683" width="37.28515625" style="255" bestFit="1" customWidth="1"/>
    <col min="7684" max="7686" width="9.140625" style="255"/>
    <col min="7687" max="7687" width="13.5703125" style="255" bestFit="1" customWidth="1"/>
    <col min="7688" max="7688" width="29.28515625" style="255" bestFit="1" customWidth="1"/>
    <col min="7689" max="7937" width="9.140625" style="255"/>
    <col min="7938" max="7938" width="41.5703125" style="255" bestFit="1" customWidth="1"/>
    <col min="7939" max="7939" width="37.28515625" style="255" bestFit="1" customWidth="1"/>
    <col min="7940" max="7942" width="9.140625" style="255"/>
    <col min="7943" max="7943" width="13.5703125" style="255" bestFit="1" customWidth="1"/>
    <col min="7944" max="7944" width="29.28515625" style="255" bestFit="1" customWidth="1"/>
    <col min="7945" max="8193" width="9.140625" style="255"/>
    <col min="8194" max="8194" width="41.5703125" style="255" bestFit="1" customWidth="1"/>
    <col min="8195" max="8195" width="37.28515625" style="255" bestFit="1" customWidth="1"/>
    <col min="8196" max="8198" width="9.140625" style="255"/>
    <col min="8199" max="8199" width="13.5703125" style="255" bestFit="1" customWidth="1"/>
    <col min="8200" max="8200" width="29.28515625" style="255" bestFit="1" customWidth="1"/>
    <col min="8201" max="8449" width="9.140625" style="255"/>
    <col min="8450" max="8450" width="41.5703125" style="255" bestFit="1" customWidth="1"/>
    <col min="8451" max="8451" width="37.28515625" style="255" bestFit="1" customWidth="1"/>
    <col min="8452" max="8454" width="9.140625" style="255"/>
    <col min="8455" max="8455" width="13.5703125" style="255" bestFit="1" customWidth="1"/>
    <col min="8456" max="8456" width="29.28515625" style="255" bestFit="1" customWidth="1"/>
    <col min="8457" max="8705" width="9.140625" style="255"/>
    <col min="8706" max="8706" width="41.5703125" style="255" bestFit="1" customWidth="1"/>
    <col min="8707" max="8707" width="37.28515625" style="255" bestFit="1" customWidth="1"/>
    <col min="8708" max="8710" width="9.140625" style="255"/>
    <col min="8711" max="8711" width="13.5703125" style="255" bestFit="1" customWidth="1"/>
    <col min="8712" max="8712" width="29.28515625" style="255" bestFit="1" customWidth="1"/>
    <col min="8713" max="8961" width="9.140625" style="255"/>
    <col min="8962" max="8962" width="41.5703125" style="255" bestFit="1" customWidth="1"/>
    <col min="8963" max="8963" width="37.28515625" style="255" bestFit="1" customWidth="1"/>
    <col min="8964" max="8966" width="9.140625" style="255"/>
    <col min="8967" max="8967" width="13.5703125" style="255" bestFit="1" customWidth="1"/>
    <col min="8968" max="8968" width="29.28515625" style="255" bestFit="1" customWidth="1"/>
    <col min="8969" max="9217" width="9.140625" style="255"/>
    <col min="9218" max="9218" width="41.5703125" style="255" bestFit="1" customWidth="1"/>
    <col min="9219" max="9219" width="37.28515625" style="255" bestFit="1" customWidth="1"/>
    <col min="9220" max="9222" width="9.140625" style="255"/>
    <col min="9223" max="9223" width="13.5703125" style="255" bestFit="1" customWidth="1"/>
    <col min="9224" max="9224" width="29.28515625" style="255" bestFit="1" customWidth="1"/>
    <col min="9225" max="9473" width="9.140625" style="255"/>
    <col min="9474" max="9474" width="41.5703125" style="255" bestFit="1" customWidth="1"/>
    <col min="9475" max="9475" width="37.28515625" style="255" bestFit="1" customWidth="1"/>
    <col min="9476" max="9478" width="9.140625" style="255"/>
    <col min="9479" max="9479" width="13.5703125" style="255" bestFit="1" customWidth="1"/>
    <col min="9480" max="9480" width="29.28515625" style="255" bestFit="1" customWidth="1"/>
    <col min="9481" max="9729" width="9.140625" style="255"/>
    <col min="9730" max="9730" width="41.5703125" style="255" bestFit="1" customWidth="1"/>
    <col min="9731" max="9731" width="37.28515625" style="255" bestFit="1" customWidth="1"/>
    <col min="9732" max="9734" width="9.140625" style="255"/>
    <col min="9735" max="9735" width="13.5703125" style="255" bestFit="1" customWidth="1"/>
    <col min="9736" max="9736" width="29.28515625" style="255" bestFit="1" customWidth="1"/>
    <col min="9737" max="9985" width="9.140625" style="255"/>
    <col min="9986" max="9986" width="41.5703125" style="255" bestFit="1" customWidth="1"/>
    <col min="9987" max="9987" width="37.28515625" style="255" bestFit="1" customWidth="1"/>
    <col min="9988" max="9990" width="9.140625" style="255"/>
    <col min="9991" max="9991" width="13.5703125" style="255" bestFit="1" customWidth="1"/>
    <col min="9992" max="9992" width="29.28515625" style="255" bestFit="1" customWidth="1"/>
    <col min="9993" max="10241" width="9.140625" style="255"/>
    <col min="10242" max="10242" width="41.5703125" style="255" bestFit="1" customWidth="1"/>
    <col min="10243" max="10243" width="37.28515625" style="255" bestFit="1" customWidth="1"/>
    <col min="10244" max="10246" width="9.140625" style="255"/>
    <col min="10247" max="10247" width="13.5703125" style="255" bestFit="1" customWidth="1"/>
    <col min="10248" max="10248" width="29.28515625" style="255" bestFit="1" customWidth="1"/>
    <col min="10249" max="10497" width="9.140625" style="255"/>
    <col min="10498" max="10498" width="41.5703125" style="255" bestFit="1" customWidth="1"/>
    <col min="10499" max="10499" width="37.28515625" style="255" bestFit="1" customWidth="1"/>
    <col min="10500" max="10502" width="9.140625" style="255"/>
    <col min="10503" max="10503" width="13.5703125" style="255" bestFit="1" customWidth="1"/>
    <col min="10504" max="10504" width="29.28515625" style="255" bestFit="1" customWidth="1"/>
    <col min="10505" max="10753" width="9.140625" style="255"/>
    <col min="10754" max="10754" width="41.5703125" style="255" bestFit="1" customWidth="1"/>
    <col min="10755" max="10755" width="37.28515625" style="255" bestFit="1" customWidth="1"/>
    <col min="10756" max="10758" width="9.140625" style="255"/>
    <col min="10759" max="10759" width="13.5703125" style="255" bestFit="1" customWidth="1"/>
    <col min="10760" max="10760" width="29.28515625" style="255" bestFit="1" customWidth="1"/>
    <col min="10761" max="11009" width="9.140625" style="255"/>
    <col min="11010" max="11010" width="41.5703125" style="255" bestFit="1" customWidth="1"/>
    <col min="11011" max="11011" width="37.28515625" style="255" bestFit="1" customWidth="1"/>
    <col min="11012" max="11014" width="9.140625" style="255"/>
    <col min="11015" max="11015" width="13.5703125" style="255" bestFit="1" customWidth="1"/>
    <col min="11016" max="11016" width="29.28515625" style="255" bestFit="1" customWidth="1"/>
    <col min="11017" max="11265" width="9.140625" style="255"/>
    <col min="11266" max="11266" width="41.5703125" style="255" bestFit="1" customWidth="1"/>
    <col min="11267" max="11267" width="37.28515625" style="255" bestFit="1" customWidth="1"/>
    <col min="11268" max="11270" width="9.140625" style="255"/>
    <col min="11271" max="11271" width="13.5703125" style="255" bestFit="1" customWidth="1"/>
    <col min="11272" max="11272" width="29.28515625" style="255" bestFit="1" customWidth="1"/>
    <col min="11273" max="11521" width="9.140625" style="255"/>
    <col min="11522" max="11522" width="41.5703125" style="255" bestFit="1" customWidth="1"/>
    <col min="11523" max="11523" width="37.28515625" style="255" bestFit="1" customWidth="1"/>
    <col min="11524" max="11526" width="9.140625" style="255"/>
    <col min="11527" max="11527" width="13.5703125" style="255" bestFit="1" customWidth="1"/>
    <col min="11528" max="11528" width="29.28515625" style="255" bestFit="1" customWidth="1"/>
    <col min="11529" max="11777" width="9.140625" style="255"/>
    <col min="11778" max="11778" width="41.5703125" style="255" bestFit="1" customWidth="1"/>
    <col min="11779" max="11779" width="37.28515625" style="255" bestFit="1" customWidth="1"/>
    <col min="11780" max="11782" width="9.140625" style="255"/>
    <col min="11783" max="11783" width="13.5703125" style="255" bestFit="1" customWidth="1"/>
    <col min="11784" max="11784" width="29.28515625" style="255" bestFit="1" customWidth="1"/>
    <col min="11785" max="12033" width="9.140625" style="255"/>
    <col min="12034" max="12034" width="41.5703125" style="255" bestFit="1" customWidth="1"/>
    <col min="12035" max="12035" width="37.28515625" style="255" bestFit="1" customWidth="1"/>
    <col min="12036" max="12038" width="9.140625" style="255"/>
    <col min="12039" max="12039" width="13.5703125" style="255" bestFit="1" customWidth="1"/>
    <col min="12040" max="12040" width="29.28515625" style="255" bestFit="1" customWidth="1"/>
    <col min="12041" max="12289" width="9.140625" style="255"/>
    <col min="12290" max="12290" width="41.5703125" style="255" bestFit="1" customWidth="1"/>
    <col min="12291" max="12291" width="37.28515625" style="255" bestFit="1" customWidth="1"/>
    <col min="12292" max="12294" width="9.140625" style="255"/>
    <col min="12295" max="12295" width="13.5703125" style="255" bestFit="1" customWidth="1"/>
    <col min="12296" max="12296" width="29.28515625" style="255" bestFit="1" customWidth="1"/>
    <col min="12297" max="12545" width="9.140625" style="255"/>
    <col min="12546" max="12546" width="41.5703125" style="255" bestFit="1" customWidth="1"/>
    <col min="12547" max="12547" width="37.28515625" style="255" bestFit="1" customWidth="1"/>
    <col min="12548" max="12550" width="9.140625" style="255"/>
    <col min="12551" max="12551" width="13.5703125" style="255" bestFit="1" customWidth="1"/>
    <col min="12552" max="12552" width="29.28515625" style="255" bestFit="1" customWidth="1"/>
    <col min="12553" max="12801" width="9.140625" style="255"/>
    <col min="12802" max="12802" width="41.5703125" style="255" bestFit="1" customWidth="1"/>
    <col min="12803" max="12803" width="37.28515625" style="255" bestFit="1" customWidth="1"/>
    <col min="12804" max="12806" width="9.140625" style="255"/>
    <col min="12807" max="12807" width="13.5703125" style="255" bestFit="1" customWidth="1"/>
    <col min="12808" max="12808" width="29.28515625" style="255" bestFit="1" customWidth="1"/>
    <col min="12809" max="13057" width="9.140625" style="255"/>
    <col min="13058" max="13058" width="41.5703125" style="255" bestFit="1" customWidth="1"/>
    <col min="13059" max="13059" width="37.28515625" style="255" bestFit="1" customWidth="1"/>
    <col min="13060" max="13062" width="9.140625" style="255"/>
    <col min="13063" max="13063" width="13.5703125" style="255" bestFit="1" customWidth="1"/>
    <col min="13064" max="13064" width="29.28515625" style="255" bestFit="1" customWidth="1"/>
    <col min="13065" max="13313" width="9.140625" style="255"/>
    <col min="13314" max="13314" width="41.5703125" style="255" bestFit="1" customWidth="1"/>
    <col min="13315" max="13315" width="37.28515625" style="255" bestFit="1" customWidth="1"/>
    <col min="13316" max="13318" width="9.140625" style="255"/>
    <col min="13319" max="13319" width="13.5703125" style="255" bestFit="1" customWidth="1"/>
    <col min="13320" max="13320" width="29.28515625" style="255" bestFit="1" customWidth="1"/>
    <col min="13321" max="13569" width="9.140625" style="255"/>
    <col min="13570" max="13570" width="41.5703125" style="255" bestFit="1" customWidth="1"/>
    <col min="13571" max="13571" width="37.28515625" style="255" bestFit="1" customWidth="1"/>
    <col min="13572" max="13574" width="9.140625" style="255"/>
    <col min="13575" max="13575" width="13.5703125" style="255" bestFit="1" customWidth="1"/>
    <col min="13576" max="13576" width="29.28515625" style="255" bestFit="1" customWidth="1"/>
    <col min="13577" max="13825" width="9.140625" style="255"/>
    <col min="13826" max="13826" width="41.5703125" style="255" bestFit="1" customWidth="1"/>
    <col min="13827" max="13827" width="37.28515625" style="255" bestFit="1" customWidth="1"/>
    <col min="13828" max="13830" width="9.140625" style="255"/>
    <col min="13831" max="13831" width="13.5703125" style="255" bestFit="1" customWidth="1"/>
    <col min="13832" max="13832" width="29.28515625" style="255" bestFit="1" customWidth="1"/>
    <col min="13833" max="14081" width="9.140625" style="255"/>
    <col min="14082" max="14082" width="41.5703125" style="255" bestFit="1" customWidth="1"/>
    <col min="14083" max="14083" width="37.28515625" style="255" bestFit="1" customWidth="1"/>
    <col min="14084" max="14086" width="9.140625" style="255"/>
    <col min="14087" max="14087" width="13.5703125" style="255" bestFit="1" customWidth="1"/>
    <col min="14088" max="14088" width="29.28515625" style="255" bestFit="1" customWidth="1"/>
    <col min="14089" max="14337" width="9.140625" style="255"/>
    <col min="14338" max="14338" width="41.5703125" style="255" bestFit="1" customWidth="1"/>
    <col min="14339" max="14339" width="37.28515625" style="255" bestFit="1" customWidth="1"/>
    <col min="14340" max="14342" width="9.140625" style="255"/>
    <col min="14343" max="14343" width="13.5703125" style="255" bestFit="1" customWidth="1"/>
    <col min="14344" max="14344" width="29.28515625" style="255" bestFit="1" customWidth="1"/>
    <col min="14345" max="14593" width="9.140625" style="255"/>
    <col min="14594" max="14594" width="41.5703125" style="255" bestFit="1" customWidth="1"/>
    <col min="14595" max="14595" width="37.28515625" style="255" bestFit="1" customWidth="1"/>
    <col min="14596" max="14598" width="9.140625" style="255"/>
    <col min="14599" max="14599" width="13.5703125" style="255" bestFit="1" customWidth="1"/>
    <col min="14600" max="14600" width="29.28515625" style="255" bestFit="1" customWidth="1"/>
    <col min="14601" max="14849" width="9.140625" style="255"/>
    <col min="14850" max="14850" width="41.5703125" style="255" bestFit="1" customWidth="1"/>
    <col min="14851" max="14851" width="37.28515625" style="255" bestFit="1" customWidth="1"/>
    <col min="14852" max="14854" width="9.140625" style="255"/>
    <col min="14855" max="14855" width="13.5703125" style="255" bestFit="1" customWidth="1"/>
    <col min="14856" max="14856" width="29.28515625" style="255" bestFit="1" customWidth="1"/>
    <col min="14857" max="15105" width="9.140625" style="255"/>
    <col min="15106" max="15106" width="41.5703125" style="255" bestFit="1" customWidth="1"/>
    <col min="15107" max="15107" width="37.28515625" style="255" bestFit="1" customWidth="1"/>
    <col min="15108" max="15110" width="9.140625" style="255"/>
    <col min="15111" max="15111" width="13.5703125" style="255" bestFit="1" customWidth="1"/>
    <col min="15112" max="15112" width="29.28515625" style="255" bestFit="1" customWidth="1"/>
    <col min="15113" max="15361" width="9.140625" style="255"/>
    <col min="15362" max="15362" width="41.5703125" style="255" bestFit="1" customWidth="1"/>
    <col min="15363" max="15363" width="37.28515625" style="255" bestFit="1" customWidth="1"/>
    <col min="15364" max="15366" width="9.140625" style="255"/>
    <col min="15367" max="15367" width="13.5703125" style="255" bestFit="1" customWidth="1"/>
    <col min="15368" max="15368" width="29.28515625" style="255" bestFit="1" customWidth="1"/>
    <col min="15369" max="15617" width="9.140625" style="255"/>
    <col min="15618" max="15618" width="41.5703125" style="255" bestFit="1" customWidth="1"/>
    <col min="15619" max="15619" width="37.28515625" style="255" bestFit="1" customWidth="1"/>
    <col min="15620" max="15622" width="9.140625" style="255"/>
    <col min="15623" max="15623" width="13.5703125" style="255" bestFit="1" customWidth="1"/>
    <col min="15624" max="15624" width="29.28515625" style="255" bestFit="1" customWidth="1"/>
    <col min="15625" max="15873" width="9.140625" style="255"/>
    <col min="15874" max="15874" width="41.5703125" style="255" bestFit="1" customWidth="1"/>
    <col min="15875" max="15875" width="37.28515625" style="255" bestFit="1" customWidth="1"/>
    <col min="15876" max="15878" width="9.140625" style="255"/>
    <col min="15879" max="15879" width="13.5703125" style="255" bestFit="1" customWidth="1"/>
    <col min="15880" max="15880" width="29.28515625" style="255" bestFit="1" customWidth="1"/>
    <col min="15881" max="16129" width="9.140625" style="255"/>
    <col min="16130" max="16130" width="41.5703125" style="255" bestFit="1" customWidth="1"/>
    <col min="16131" max="16131" width="37.28515625" style="255" bestFit="1" customWidth="1"/>
    <col min="16132" max="16134" width="9.140625" style="255"/>
    <col min="16135" max="16135" width="13.5703125" style="255" bestFit="1" customWidth="1"/>
    <col min="16136" max="16136" width="29.28515625" style="255" bestFit="1" customWidth="1"/>
    <col min="16137" max="16384" width="9.140625" style="255"/>
  </cols>
  <sheetData>
    <row r="2" spans="1:9" ht="20.25">
      <c r="A2" s="213"/>
      <c r="B2" s="214" t="s">
        <v>159</v>
      </c>
      <c r="C2" s="215"/>
      <c r="D2" s="216"/>
      <c r="E2" s="215"/>
      <c r="F2" s="216"/>
      <c r="G2" s="215"/>
      <c r="H2" s="216"/>
      <c r="I2" s="215"/>
    </row>
    <row r="3" spans="1:9">
      <c r="A3" s="217"/>
      <c r="B3" s="218"/>
      <c r="C3" s="219"/>
      <c r="D3" s="219"/>
      <c r="E3" s="219"/>
      <c r="F3" s="217"/>
      <c r="G3" s="217"/>
      <c r="H3" s="217"/>
      <c r="I3" s="217"/>
    </row>
    <row r="4" spans="1:9">
      <c r="A4" s="220"/>
      <c r="B4" s="221"/>
      <c r="C4" s="222"/>
      <c r="D4" s="222"/>
      <c r="E4" s="222"/>
      <c r="F4" s="220"/>
      <c r="G4" s="523" t="s">
        <v>115</v>
      </c>
      <c r="H4" s="524"/>
      <c r="I4" s="220"/>
    </row>
    <row r="5" spans="1:9">
      <c r="A5" s="220"/>
      <c r="B5" s="221"/>
      <c r="C5" s="223"/>
      <c r="D5" s="222"/>
      <c r="E5" s="224"/>
      <c r="F5" s="220"/>
      <c r="G5" s="225"/>
      <c r="H5" s="226"/>
      <c r="I5" s="220"/>
    </row>
    <row r="6" spans="1:9" ht="15">
      <c r="A6" s="220"/>
      <c r="B6" s="227" t="s">
        <v>116</v>
      </c>
      <c r="C6" s="228" t="s">
        <v>160</v>
      </c>
      <c r="D6" s="229"/>
      <c r="E6" s="226"/>
      <c r="F6" s="220"/>
      <c r="G6" s="230" t="s">
        <v>117</v>
      </c>
      <c r="H6" s="231" t="s">
        <v>118</v>
      </c>
      <c r="I6" s="220"/>
    </row>
    <row r="7" spans="1:9">
      <c r="A7" s="220"/>
      <c r="B7" s="227" t="s">
        <v>119</v>
      </c>
      <c r="C7" s="228" t="s">
        <v>446</v>
      </c>
      <c r="D7" s="229"/>
      <c r="E7" s="226"/>
      <c r="F7" s="220"/>
      <c r="G7" s="446" t="s">
        <v>449</v>
      </c>
      <c r="H7" s="226" t="s">
        <v>450</v>
      </c>
      <c r="I7" s="220"/>
    </row>
    <row r="8" spans="1:9" ht="26.25" customHeight="1">
      <c r="A8" s="220"/>
      <c r="B8" s="227" t="s">
        <v>122</v>
      </c>
      <c r="C8" s="233" t="s">
        <v>447</v>
      </c>
      <c r="D8" s="229"/>
      <c r="E8" s="226"/>
      <c r="F8" s="220"/>
      <c r="G8" s="447" t="s">
        <v>451</v>
      </c>
      <c r="H8" s="226" t="s">
        <v>452</v>
      </c>
      <c r="I8" s="220"/>
    </row>
    <row r="9" spans="1:9">
      <c r="A9" s="220"/>
      <c r="B9" s="227" t="s">
        <v>127</v>
      </c>
      <c r="C9" s="235" t="s">
        <v>162</v>
      </c>
      <c r="D9" s="229"/>
      <c r="E9" s="226"/>
      <c r="F9" s="220"/>
      <c r="G9" s="232" t="s">
        <v>120</v>
      </c>
      <c r="H9" s="226" t="s">
        <v>121</v>
      </c>
      <c r="I9" s="220"/>
    </row>
    <row r="10" spans="1:9">
      <c r="A10" s="220"/>
      <c r="B10" s="227" t="s">
        <v>130</v>
      </c>
      <c r="C10" s="236" t="s">
        <v>131</v>
      </c>
      <c r="D10" s="229"/>
      <c r="E10" s="226"/>
      <c r="F10" s="220"/>
      <c r="G10" s="232" t="s">
        <v>123</v>
      </c>
      <c r="H10" s="226" t="s">
        <v>124</v>
      </c>
      <c r="I10" s="220"/>
    </row>
    <row r="11" spans="1:9">
      <c r="A11" s="220"/>
      <c r="B11" s="227" t="s">
        <v>134</v>
      </c>
      <c r="C11" s="237"/>
      <c r="D11" s="229"/>
      <c r="E11" s="226"/>
      <c r="F11" s="220"/>
      <c r="G11" s="232" t="s">
        <v>125</v>
      </c>
      <c r="H11" s="234" t="s">
        <v>126</v>
      </c>
      <c r="I11" s="220"/>
    </row>
    <row r="12" spans="1:9">
      <c r="A12" s="220"/>
      <c r="B12" s="227" t="s">
        <v>137</v>
      </c>
      <c r="C12" s="237">
        <v>45979</v>
      </c>
      <c r="D12" s="229"/>
      <c r="E12" s="226"/>
      <c r="F12" s="220"/>
      <c r="G12" s="232" t="s">
        <v>128</v>
      </c>
      <c r="H12" s="226" t="s">
        <v>129</v>
      </c>
      <c r="I12" s="220"/>
    </row>
    <row r="13" spans="1:9">
      <c r="A13" s="220"/>
      <c r="B13" s="227" t="s">
        <v>140</v>
      </c>
      <c r="C13" s="238" t="s">
        <v>448</v>
      </c>
      <c r="D13" s="229"/>
      <c r="E13" s="226"/>
      <c r="F13" s="220"/>
      <c r="G13" s="232" t="s">
        <v>132</v>
      </c>
      <c r="H13" s="226" t="s">
        <v>133</v>
      </c>
      <c r="I13" s="220"/>
    </row>
    <row r="14" spans="1:9">
      <c r="A14" s="220"/>
      <c r="B14" s="227" t="s">
        <v>143</v>
      </c>
      <c r="C14" s="238" t="s">
        <v>144</v>
      </c>
      <c r="D14" s="229"/>
      <c r="E14" s="226"/>
      <c r="F14" s="220"/>
      <c r="G14" s="232" t="s">
        <v>135</v>
      </c>
      <c r="H14" s="226" t="s">
        <v>136</v>
      </c>
      <c r="I14" s="220"/>
    </row>
    <row r="15" spans="1:9">
      <c r="A15" s="220"/>
      <c r="B15" s="240"/>
      <c r="C15" s="241"/>
      <c r="D15" s="242"/>
      <c r="E15" s="243"/>
      <c r="F15" s="220"/>
      <c r="G15" s="232" t="s">
        <v>138</v>
      </c>
      <c r="H15" s="226" t="s">
        <v>139</v>
      </c>
      <c r="I15" s="220"/>
    </row>
    <row r="16" spans="1:9">
      <c r="A16" s="220"/>
      <c r="B16" s="221"/>
      <c r="C16" s="246"/>
      <c r="D16" s="222"/>
      <c r="E16" s="224"/>
      <c r="F16" s="220"/>
      <c r="G16" s="232" t="s">
        <v>453</v>
      </c>
      <c r="H16" s="226" t="s">
        <v>456</v>
      </c>
      <c r="I16" s="220"/>
    </row>
    <row r="17" spans="1:9">
      <c r="A17" s="220"/>
      <c r="B17" s="227" t="s">
        <v>147</v>
      </c>
      <c r="C17" s="247" t="s">
        <v>148</v>
      </c>
      <c r="D17" s="229"/>
      <c r="E17" s="226"/>
      <c r="F17" s="220"/>
      <c r="G17" s="232" t="s">
        <v>454</v>
      </c>
      <c r="H17" s="226" t="s">
        <v>457</v>
      </c>
      <c r="I17" s="220"/>
    </row>
    <row r="18" spans="1:9">
      <c r="A18" s="220"/>
      <c r="B18" s="227" t="s">
        <v>149</v>
      </c>
      <c r="C18" s="248" t="s">
        <v>150</v>
      </c>
      <c r="D18" s="219"/>
      <c r="E18" s="226"/>
      <c r="F18" s="220"/>
      <c r="G18" s="232" t="s">
        <v>455</v>
      </c>
      <c r="H18" s="226" t="s">
        <v>458</v>
      </c>
      <c r="I18" s="220"/>
    </row>
    <row r="19" spans="1:9">
      <c r="A19" s="220"/>
      <c r="B19" s="227" t="s">
        <v>151</v>
      </c>
      <c r="C19" s="249" t="s">
        <v>152</v>
      </c>
      <c r="D19" s="219"/>
      <c r="E19" s="226"/>
      <c r="F19" s="220"/>
      <c r="G19" s="232" t="s">
        <v>141</v>
      </c>
      <c r="H19" s="226" t="s">
        <v>142</v>
      </c>
      <c r="I19" s="220"/>
    </row>
    <row r="20" spans="1:9">
      <c r="A20" s="217"/>
      <c r="B20" s="227" t="s">
        <v>153</v>
      </c>
      <c r="C20" s="250" t="s">
        <v>154</v>
      </c>
      <c r="D20" s="219"/>
      <c r="E20" s="226"/>
      <c r="F20" s="217"/>
      <c r="G20" s="232" t="s">
        <v>145</v>
      </c>
      <c r="H20" s="239" t="s">
        <v>146</v>
      </c>
      <c r="I20" s="217"/>
    </row>
    <row r="21" spans="1:9">
      <c r="A21" s="217"/>
      <c r="B21" s="227" t="s">
        <v>155</v>
      </c>
      <c r="C21" s="251" t="s">
        <v>156</v>
      </c>
      <c r="D21" s="219"/>
      <c r="E21" s="226"/>
      <c r="F21" s="217"/>
      <c r="G21" s="244"/>
      <c r="H21" s="245"/>
      <c r="I21" s="217"/>
    </row>
    <row r="22" spans="1:9">
      <c r="A22" s="217"/>
      <c r="B22" s="227" t="s">
        <v>157</v>
      </c>
      <c r="C22" s="252"/>
      <c r="D22" s="219"/>
      <c r="E22" s="226"/>
      <c r="F22" s="217"/>
      <c r="G22" s="217"/>
      <c r="H22" s="217"/>
      <c r="I22" s="217"/>
    </row>
    <row r="23" spans="1:9">
      <c r="A23" s="217"/>
      <c r="B23" s="227" t="s">
        <v>158</v>
      </c>
      <c r="C23" s="253"/>
      <c r="D23" s="219"/>
      <c r="E23" s="226"/>
      <c r="F23" s="217"/>
      <c r="G23" s="217"/>
      <c r="H23" s="217"/>
      <c r="I23" s="217"/>
    </row>
    <row r="24" spans="1:9">
      <c r="A24" s="217"/>
      <c r="B24" s="240"/>
      <c r="C24" s="242"/>
      <c r="D24" s="242"/>
      <c r="E24" s="243"/>
      <c r="F24" s="217"/>
      <c r="G24" s="217"/>
      <c r="H24" s="217"/>
      <c r="I24" s="217"/>
    </row>
    <row r="25" spans="1:9">
      <c r="A25" s="217"/>
      <c r="B25" s="254"/>
      <c r="C25" s="217"/>
      <c r="D25" s="217"/>
      <c r="E25" s="217"/>
      <c r="F25" s="217"/>
      <c r="G25" s="217"/>
      <c r="H25" s="217"/>
      <c r="I25" s="217"/>
    </row>
    <row r="26" spans="1:9">
      <c r="A26" s="217"/>
      <c r="B26" s="254"/>
      <c r="C26" s="217"/>
      <c r="D26" s="217"/>
      <c r="E26" s="217"/>
      <c r="F26" s="217"/>
      <c r="G26" s="217"/>
      <c r="H26" s="217"/>
      <c r="I26" s="217"/>
    </row>
    <row r="27" spans="1:9">
      <c r="A27" s="217"/>
      <c r="F27" s="217"/>
      <c r="G27" s="217"/>
      <c r="H27" s="217"/>
      <c r="I27" s="217"/>
    </row>
    <row r="28" spans="1:9">
      <c r="A28" s="217"/>
      <c r="F28" s="217"/>
      <c r="G28" s="217"/>
      <c r="H28" s="217"/>
      <c r="I28" s="217"/>
    </row>
    <row r="29" spans="1:9">
      <c r="G29" s="217"/>
      <c r="H29" s="217"/>
    </row>
  </sheetData>
  <mergeCells count="1">
    <mergeCell ref="G4:H4"/>
  </mergeCells>
  <hyperlinks>
    <hyperlink ref="C8" r:id="rId1" xr:uid="{00000000-0004-0000-0100-000009000000}"/>
    <hyperlink ref="G10" location="InpS!A1" display="InpS" xr:uid="{997910D6-39BB-4036-AAB4-F8690E718662}"/>
    <hyperlink ref="G9" location="InpC!A1" tooltip="Input Sheet - Computations" display="InpC" xr:uid="{978B70A7-E6CD-4439-8B2E-6562C070869A}"/>
    <hyperlink ref="G12" location="FinStat!A1" tooltip="Financial Statement - Presentation" display="FinStat" xr:uid="{A753F0A2-DDB1-430D-B162-CFCC4949104F}"/>
    <hyperlink ref="G19" location="Time!A1" tooltip="Time Sheet" display="Time" xr:uid="{60BB924B-2CE0-4860-8454-05FC52574A7E}"/>
    <hyperlink ref="G13" location="OpRev!A1" tooltip="Operating Revenue" display="OpRev" xr:uid="{33B28021-BF9B-417A-AF2F-D701A5191ADF}"/>
    <hyperlink ref="G14" location="OpCost!A1" tooltip="Operating Cost" display="OpCost" xr:uid="{285159B0-5530-4FB1-A2F7-580E0FE276EC}"/>
    <hyperlink ref="G18" location="Debt!A1" tooltip="Valuation Sheet" display="Debt" xr:uid="{2037CF5F-2122-455A-8686-D40927641935}"/>
    <hyperlink ref="G20" location="Temp!A1" tooltip="Template Sheet" display="Temp" xr:uid="{148D0763-9FE7-4E40-B725-7BFB12FB0188}"/>
    <hyperlink ref="G15" location="Tax!A1" tooltip="Operating Cost" display="Tax" xr:uid="{401D549E-CF43-470A-8943-BA34091D779E}"/>
    <hyperlink ref="G7" location="Summary!A1" display="Summary" xr:uid="{12B7DA1D-F454-4842-83E9-9B110E4EDCE8}"/>
    <hyperlink ref="G8" location="'Scenario &amp; Sensitivity'!A1" display="Scenario &amp; Sensitivity" xr:uid="{55A8B040-40FD-4541-B7D2-AF589BAA7D4A}"/>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B54A8-796A-47DC-B811-D5290F736497}">
  <sheetPr>
    <tabColor theme="3" tint="0.39997558519241921"/>
    <pageSetUpPr fitToPage="1"/>
  </sheetPr>
  <dimension ref="A1:AK87"/>
  <sheetViews>
    <sheetView tabSelected="1" topLeftCell="A63" zoomScale="90" zoomScaleNormal="90" workbookViewId="0">
      <selection activeCell="K90" sqref="K90"/>
    </sheetView>
  </sheetViews>
  <sheetFormatPr defaultRowHeight="12.75"/>
  <cols>
    <col min="1" max="4" width="1.28515625" style="295" customWidth="1"/>
    <col min="5" max="5" width="9.140625" style="255"/>
    <col min="6" max="6" width="26" style="255" customWidth="1"/>
    <col min="7" max="7" width="14.42578125" style="255" customWidth="1"/>
    <col min="8" max="8" width="4.5703125" style="255" customWidth="1"/>
    <col min="9" max="20" width="13.5703125" style="255" bestFit="1" customWidth="1"/>
    <col min="21" max="21" width="9.140625" style="255"/>
    <col min="22" max="23" width="9.140625" style="255" hidden="1" customWidth="1"/>
    <col min="24" max="24" width="26.28515625" style="255" hidden="1" customWidth="1"/>
    <col min="25" max="25" width="9.140625" style="255" hidden="1" customWidth="1"/>
    <col min="26" max="37" width="13.5703125" style="255" hidden="1" customWidth="1"/>
    <col min="38" max="16384" width="9.140625" style="255"/>
  </cols>
  <sheetData>
    <row r="1" spans="1:37" ht="26.25">
      <c r="A1" s="403"/>
      <c r="B1" s="403"/>
      <c r="C1" s="403"/>
      <c r="D1" s="403"/>
    </row>
    <row r="2" spans="1:37" ht="20.25">
      <c r="A2" s="405"/>
      <c r="B2" s="405"/>
      <c r="C2" s="405"/>
      <c r="D2" s="405"/>
      <c r="E2" s="525" t="s">
        <v>159</v>
      </c>
      <c r="F2" s="526"/>
      <c r="G2" s="526"/>
      <c r="H2" s="526"/>
      <c r="I2" s="526"/>
      <c r="J2" s="526"/>
      <c r="K2" s="526"/>
      <c r="L2" s="526"/>
      <c r="M2" s="526"/>
      <c r="N2" s="526"/>
      <c r="O2" s="526"/>
      <c r="P2" s="526"/>
      <c r="Q2" s="526"/>
      <c r="R2" s="526"/>
      <c r="S2" s="526"/>
      <c r="T2" s="526"/>
    </row>
    <row r="3" spans="1:37">
      <c r="E3" s="217"/>
      <c r="F3" s="217"/>
      <c r="G3" s="217"/>
      <c r="H3" s="217"/>
    </row>
    <row r="4" spans="1:37" ht="18.75">
      <c r="E4" s="450"/>
      <c r="F4" s="450"/>
      <c r="G4" s="450"/>
      <c r="H4" s="450"/>
      <c r="I4" s="450"/>
      <c r="J4" s="450"/>
      <c r="K4" s="450"/>
      <c r="L4" s="450"/>
      <c r="M4" s="450"/>
      <c r="N4" s="450"/>
      <c r="O4" s="450"/>
      <c r="P4" s="451"/>
    </row>
    <row r="5" spans="1:37" ht="18.75">
      <c r="E5" s="449" t="s">
        <v>468</v>
      </c>
      <c r="F5" s="449"/>
      <c r="G5" s="449"/>
      <c r="H5" s="449"/>
      <c r="I5" s="450"/>
      <c r="J5" s="450"/>
      <c r="K5" s="450"/>
      <c r="L5" s="450"/>
      <c r="M5" s="450"/>
      <c r="N5" s="450"/>
      <c r="O5" s="450"/>
      <c r="P5" s="450"/>
      <c r="Q5" s="450"/>
      <c r="R5" s="450"/>
      <c r="S5" s="450"/>
      <c r="T5" s="450"/>
      <c r="V5" s="448" t="str">
        <f>"SUMMMARY VALUES - "&amp;" "&amp;"SCENARIO"&amp;" "&amp;UPPER('Scenario &amp; Sensitivity'!E18)</f>
        <v>SUMMMARY VALUES -  SCENARIO E</v>
      </c>
      <c r="W5" s="449"/>
      <c r="X5" s="449"/>
      <c r="Y5" s="449"/>
      <c r="Z5" s="450"/>
      <c r="AA5" s="450"/>
      <c r="AB5" s="450"/>
      <c r="AC5" s="450"/>
      <c r="AD5" s="450"/>
      <c r="AE5" s="450"/>
      <c r="AF5" s="450"/>
      <c r="AG5" s="450"/>
      <c r="AH5" s="451"/>
    </row>
    <row r="6" spans="1:37">
      <c r="E6" s="488"/>
      <c r="F6" s="489"/>
      <c r="G6" s="489"/>
      <c r="H6" s="489"/>
      <c r="I6" s="490"/>
      <c r="J6" s="490"/>
      <c r="K6" s="490"/>
      <c r="L6" s="491"/>
      <c r="M6" s="492"/>
      <c r="N6" s="492"/>
      <c r="O6" s="491"/>
      <c r="P6" s="491" t="s">
        <v>459</v>
      </c>
      <c r="Q6" s="490"/>
      <c r="R6" s="490"/>
      <c r="S6" s="490"/>
      <c r="T6" s="493"/>
      <c r="V6" s="452"/>
      <c r="W6" s="453"/>
      <c r="X6" s="453"/>
      <c r="Y6" s="453"/>
      <c r="Z6" s="453"/>
      <c r="AA6" s="453"/>
      <c r="AB6" s="453"/>
      <c r="AC6" s="472" t="s">
        <v>459</v>
      </c>
      <c r="AD6" s="473"/>
      <c r="AE6" s="473"/>
      <c r="AF6" s="473"/>
      <c r="AG6" s="473"/>
      <c r="AH6" s="453"/>
      <c r="AI6" s="461"/>
      <c r="AJ6" s="461"/>
      <c r="AK6" s="462"/>
    </row>
    <row r="7" spans="1:37">
      <c r="E7" s="503" t="s">
        <v>470</v>
      </c>
      <c r="F7" s="504"/>
      <c r="G7" s="505" t="s">
        <v>469</v>
      </c>
      <c r="H7" s="504"/>
      <c r="I7" s="481" t="s">
        <v>472</v>
      </c>
      <c r="J7" s="481" t="s">
        <v>472</v>
      </c>
      <c r="K7" s="481" t="s">
        <v>472</v>
      </c>
      <c r="L7" s="482" t="s">
        <v>472</v>
      </c>
      <c r="M7" s="482" t="s">
        <v>472</v>
      </c>
      <c r="N7" s="482" t="s">
        <v>472</v>
      </c>
      <c r="O7" s="482" t="s">
        <v>473</v>
      </c>
      <c r="P7" s="482" t="s">
        <v>473</v>
      </c>
      <c r="Q7" s="482" t="s">
        <v>473</v>
      </c>
      <c r="R7" s="482" t="s">
        <v>473</v>
      </c>
      <c r="S7" s="482" t="s">
        <v>473</v>
      </c>
      <c r="T7" s="494" t="s">
        <v>473</v>
      </c>
      <c r="V7" s="454"/>
      <c r="W7" s="518"/>
      <c r="X7" s="518"/>
      <c r="Y7" s="518"/>
      <c r="Z7" s="471">
        <f xml:space="preserve"> FinStat!J$4</f>
        <v>2009</v>
      </c>
      <c r="AA7" s="471">
        <f xml:space="preserve"> FinStat!K$4</f>
        <v>2010</v>
      </c>
      <c r="AB7" s="471">
        <f xml:space="preserve"> FinStat!L$4</f>
        <v>2011</v>
      </c>
      <c r="AC7" s="471">
        <f xml:space="preserve"> FinStat!M$4</f>
        <v>2012</v>
      </c>
      <c r="AD7" s="471">
        <f xml:space="preserve"> FinStat!N$4</f>
        <v>2013</v>
      </c>
      <c r="AE7" s="471">
        <f xml:space="preserve"> FinStat!O$4</f>
        <v>2014</v>
      </c>
      <c r="AF7" s="471">
        <f xml:space="preserve"> FinStat!P$4</f>
        <v>2015</v>
      </c>
      <c r="AG7" s="471">
        <f xml:space="preserve"> FinStat!Q$4</f>
        <v>2016</v>
      </c>
      <c r="AH7" s="471">
        <f xml:space="preserve"> FinStat!R$4</f>
        <v>2017</v>
      </c>
      <c r="AI7" s="471">
        <f xml:space="preserve"> FinStat!S$4</f>
        <v>2018</v>
      </c>
      <c r="AJ7" s="471">
        <f xml:space="preserve"> FinStat!T$4</f>
        <v>2019</v>
      </c>
      <c r="AK7" s="474">
        <f xml:space="preserve"> FinStat!U$4</f>
        <v>2020</v>
      </c>
    </row>
    <row r="8" spans="1:37">
      <c r="E8" s="495"/>
      <c r="F8" s="506"/>
      <c r="G8" s="506"/>
      <c r="H8" s="506"/>
      <c r="I8" s="483"/>
      <c r="J8" s="483"/>
      <c r="K8" s="484"/>
      <c r="L8" s="479"/>
      <c r="M8" s="479"/>
      <c r="N8" s="479"/>
      <c r="O8" s="479"/>
      <c r="P8" s="479"/>
      <c r="Q8" s="479"/>
      <c r="R8" s="479"/>
      <c r="S8" s="479"/>
      <c r="T8" s="496"/>
      <c r="V8" s="455"/>
      <c r="W8" s="451"/>
      <c r="X8" s="451"/>
      <c r="Y8" s="451"/>
      <c r="Z8" s="475" t="str">
        <f xml:space="preserve"> FinStat!J$3</f>
        <v>Pre-forecast</v>
      </c>
      <c r="AA8" s="475" t="str">
        <f xml:space="preserve"> FinStat!K$3</f>
        <v>Pre-forecast</v>
      </c>
      <c r="AB8" s="475" t="str">
        <f xml:space="preserve"> FinStat!L$3</f>
        <v>Pre-forecast</v>
      </c>
      <c r="AC8" s="475" t="str">
        <f xml:space="preserve"> FinStat!M$3</f>
        <v>Pre-forecast</v>
      </c>
      <c r="AD8" s="475" t="str">
        <f xml:space="preserve"> FinStat!N$3</f>
        <v>Pre-forecast</v>
      </c>
      <c r="AE8" s="475" t="str">
        <f xml:space="preserve"> FinStat!O$3</f>
        <v>Pre-forecast</v>
      </c>
      <c r="AF8" s="475" t="str">
        <f xml:space="preserve"> FinStat!P$3</f>
        <v>Forecast</v>
      </c>
      <c r="AG8" s="475" t="str">
        <f xml:space="preserve"> FinStat!Q$3</f>
        <v>Forecast</v>
      </c>
      <c r="AH8" s="475" t="str">
        <f xml:space="preserve"> FinStat!R$3</f>
        <v>Forecast</v>
      </c>
      <c r="AI8" s="475" t="str">
        <f xml:space="preserve"> FinStat!S$3</f>
        <v>Forecast</v>
      </c>
      <c r="AJ8" s="475" t="str">
        <f xml:space="preserve"> FinStat!T$3</f>
        <v>Forecast</v>
      </c>
      <c r="AK8" s="476" t="str">
        <f xml:space="preserve"> FinStat!U$3</f>
        <v>Forecast</v>
      </c>
    </row>
    <row r="9" spans="1:37">
      <c r="A9" s="414"/>
      <c r="B9" s="414"/>
      <c r="C9" s="414"/>
      <c r="D9" s="414"/>
      <c r="E9" s="497"/>
      <c r="F9" s="507"/>
      <c r="G9" s="507"/>
      <c r="H9" s="507"/>
      <c r="I9" s="485"/>
      <c r="J9" s="485"/>
      <c r="K9" s="486"/>
      <c r="L9" s="480"/>
      <c r="M9" s="480"/>
      <c r="N9" s="480"/>
      <c r="O9" s="480"/>
      <c r="P9" s="480"/>
      <c r="Q9" s="480"/>
      <c r="R9" s="480"/>
      <c r="S9" s="480"/>
      <c r="T9" s="498"/>
      <c r="V9" s="455"/>
      <c r="W9" s="451"/>
      <c r="X9" s="451"/>
      <c r="Y9" s="451"/>
      <c r="Z9" s="463"/>
      <c r="AA9" s="463"/>
      <c r="AB9" s="464"/>
      <c r="AC9" s="465"/>
      <c r="AD9" s="465"/>
      <c r="AE9" s="465"/>
      <c r="AF9" s="465"/>
      <c r="AG9" s="465"/>
      <c r="AH9" s="451"/>
      <c r="AI9" s="466"/>
      <c r="AJ9" s="466"/>
      <c r="AK9" s="467"/>
    </row>
    <row r="10" spans="1:37">
      <c r="E10" s="508" t="s">
        <v>460</v>
      </c>
      <c r="F10" s="451"/>
      <c r="G10" s="451"/>
      <c r="H10" s="451"/>
      <c r="I10" s="451"/>
      <c r="J10" s="451"/>
      <c r="K10" s="451"/>
      <c r="L10" s="451"/>
      <c r="M10" s="451"/>
      <c r="N10" s="451"/>
      <c r="O10" s="451"/>
      <c r="P10" s="451"/>
      <c r="Q10" s="451"/>
      <c r="R10" s="451"/>
      <c r="S10" s="451"/>
      <c r="T10" s="456"/>
      <c r="V10" s="455"/>
      <c r="W10" s="519" t="s">
        <v>460</v>
      </c>
      <c r="X10" s="451"/>
      <c r="Y10" s="451"/>
      <c r="Z10" s="451"/>
      <c r="AA10" s="451"/>
      <c r="AB10" s="451"/>
      <c r="AC10" s="451"/>
      <c r="AD10" s="451"/>
      <c r="AE10" s="451"/>
      <c r="AF10" s="451"/>
      <c r="AG10" s="451"/>
      <c r="AH10" s="451"/>
      <c r="AI10" s="466"/>
      <c r="AJ10" s="466"/>
      <c r="AK10" s="467"/>
    </row>
    <row r="11" spans="1:37">
      <c r="E11" s="508"/>
      <c r="F11" s="451"/>
      <c r="G11" s="451"/>
      <c r="H11" s="451"/>
      <c r="I11" s="451"/>
      <c r="J11" s="451"/>
      <c r="K11" s="451"/>
      <c r="L11" s="451"/>
      <c r="M11" s="451"/>
      <c r="N11" s="451"/>
      <c r="O11" s="451"/>
      <c r="P11" s="451"/>
      <c r="Q11" s="451"/>
      <c r="R11" s="451"/>
      <c r="S11" s="451"/>
      <c r="T11" s="456"/>
      <c r="V11" s="455"/>
      <c r="W11" s="519"/>
      <c r="X11" s="451"/>
      <c r="Y11" s="451"/>
      <c r="Z11" s="451"/>
      <c r="AA11" s="451"/>
      <c r="AB11" s="451"/>
      <c r="AC11" s="451"/>
      <c r="AD11" s="451"/>
      <c r="AE11" s="451"/>
      <c r="AF11" s="451"/>
      <c r="AG11" s="451"/>
      <c r="AH11" s="451"/>
      <c r="AI11" s="466"/>
      <c r="AJ11" s="466"/>
      <c r="AK11" s="467"/>
    </row>
    <row r="12" spans="1:37">
      <c r="E12" s="455"/>
      <c r="F12" s="451" t="s">
        <v>461</v>
      </c>
      <c r="G12" s="509"/>
      <c r="H12" s="451"/>
      <c r="I12" s="517">
        <v>10283369</v>
      </c>
      <c r="J12" s="517">
        <v>11094396</v>
      </c>
      <c r="K12" s="517">
        <v>13539233</v>
      </c>
      <c r="L12" s="517">
        <v>20603120</v>
      </c>
      <c r="M12" s="517">
        <v>19409000</v>
      </c>
      <c r="N12" s="517">
        <v>19618716</v>
      </c>
      <c r="O12" s="517">
        <v>21798873.660000004</v>
      </c>
      <c r="P12" s="517">
        <v>24223241.413200006</v>
      </c>
      <c r="Q12" s="517">
        <v>26919383.588184007</v>
      </c>
      <c r="R12" s="517">
        <v>29917998.144706093</v>
      </c>
      <c r="S12" s="517">
        <v>33253275.300604828</v>
      </c>
      <c r="T12" s="517">
        <v>36963297.453064807</v>
      </c>
      <c r="V12" s="455"/>
      <c r="W12" s="451"/>
      <c r="X12" s="451" t="s">
        <v>461</v>
      </c>
      <c r="Y12" s="520" t="s">
        <v>462</v>
      </c>
      <c r="Z12" s="517">
        <f xml:space="preserve"> FinStat!J$11</f>
        <v>10283369</v>
      </c>
      <c r="AA12" s="517">
        <f xml:space="preserve"> FinStat!K$11</f>
        <v>11094396</v>
      </c>
      <c r="AB12" s="517">
        <f xml:space="preserve"> FinStat!L$11</f>
        <v>13539233</v>
      </c>
      <c r="AC12" s="517">
        <f xml:space="preserve"> FinStat!M$11</f>
        <v>20603120</v>
      </c>
      <c r="AD12" s="517">
        <f xml:space="preserve"> FinStat!N$11</f>
        <v>19409000</v>
      </c>
      <c r="AE12" s="517">
        <f xml:space="preserve"> FinStat!O$11</f>
        <v>19618716</v>
      </c>
      <c r="AF12" s="517">
        <f xml:space="preserve"> FinStat!P$11</f>
        <v>23107238.549999997</v>
      </c>
      <c r="AG12" s="517">
        <f xml:space="preserve"> FinStat!Q$11</f>
        <v>27228182.512499996</v>
      </c>
      <c r="AH12" s="517">
        <f xml:space="preserve"> FinStat!R$11</f>
        <v>32098239.705374997</v>
      </c>
      <c r="AI12" s="517">
        <f xml:space="preserve"> FinStat!S$11</f>
        <v>37855971.440381244</v>
      </c>
      <c r="AJ12" s="517">
        <f xml:space="preserve"> FinStat!T$11</f>
        <v>44665962.09147843</v>
      </c>
      <c r="AK12" s="517">
        <f xml:space="preserve"> FinStat!U$11</f>
        <v>52723770.327248193</v>
      </c>
    </row>
    <row r="13" spans="1:37">
      <c r="E13" s="455"/>
      <c r="F13" s="510" t="s">
        <v>463</v>
      </c>
      <c r="G13" s="511"/>
      <c r="H13" s="510"/>
      <c r="I13" s="512"/>
      <c r="J13" s="487">
        <v>7.8867830182890453E-2</v>
      </c>
      <c r="K13" s="487">
        <v>0.22036684106101845</v>
      </c>
      <c r="L13" s="487">
        <v>0.52173465069993252</v>
      </c>
      <c r="M13" s="487">
        <v>-5.7958212154275657E-2</v>
      </c>
      <c r="N13" s="487">
        <v>1.0805090421969199E-2</v>
      </c>
      <c r="O13" s="487">
        <v>0.11112641928248546</v>
      </c>
      <c r="P13" s="487">
        <v>0.11121527611991322</v>
      </c>
      <c r="Q13" s="487">
        <v>0.1113039386014949</v>
      </c>
      <c r="R13" s="487">
        <v>0.11139239302040704</v>
      </c>
      <c r="S13" s="487">
        <v>0.11148062580145934</v>
      </c>
      <c r="T13" s="501">
        <v>0.11156862350917041</v>
      </c>
      <c r="V13" s="455"/>
      <c r="W13" s="451"/>
      <c r="X13" s="510" t="s">
        <v>463</v>
      </c>
      <c r="Y13" s="511" t="s">
        <v>464</v>
      </c>
      <c r="Z13" s="512"/>
      <c r="AA13" s="487">
        <f>AA12/Z12-1</f>
        <v>7.8867830182890453E-2</v>
      </c>
      <c r="AB13" s="487">
        <f t="shared" ref="AB13:AG13" si="0">AB12/AA12-1</f>
        <v>0.22036684106101845</v>
      </c>
      <c r="AC13" s="487">
        <f t="shared" si="0"/>
        <v>0.52173465069993252</v>
      </c>
      <c r="AD13" s="487">
        <f t="shared" si="0"/>
        <v>-5.7958212154275657E-2</v>
      </c>
      <c r="AE13" s="487">
        <f t="shared" si="0"/>
        <v>1.0805090421969199E-2</v>
      </c>
      <c r="AF13" s="487">
        <f t="shared" si="0"/>
        <v>0.17781604820621277</v>
      </c>
      <c r="AG13" s="487">
        <f t="shared" si="0"/>
        <v>0.17833995843263573</v>
      </c>
      <c r="AH13" s="487">
        <f t="shared" ref="AH13" si="1">AH12/AG12-1</f>
        <v>0.17886089865304977</v>
      </c>
      <c r="AI13" s="487">
        <f t="shared" ref="AI13" si="2">AI12/AH12-1</f>
        <v>0.17937842660082337</v>
      </c>
      <c r="AJ13" s="487">
        <f t="shared" ref="AJ13" si="3">AJ12/AI12-1</f>
        <v>0.1798921119174588</v>
      </c>
      <c r="AK13" s="501">
        <f t="shared" ref="AK13" si="4">AK12/AJ12-1</f>
        <v>0.18040153751232113</v>
      </c>
    </row>
    <row r="14" spans="1:37">
      <c r="E14" s="455"/>
      <c r="F14" s="513"/>
      <c r="G14" s="513"/>
      <c r="H14" s="513"/>
      <c r="I14" s="478"/>
      <c r="J14" s="478"/>
      <c r="K14" s="478"/>
      <c r="L14" s="478"/>
      <c r="M14" s="478"/>
      <c r="N14" s="478"/>
      <c r="O14" s="478"/>
      <c r="P14" s="478"/>
      <c r="Q14" s="478"/>
      <c r="R14" s="478"/>
      <c r="S14" s="478"/>
      <c r="T14" s="478"/>
      <c r="V14" s="455"/>
      <c r="W14" s="451"/>
      <c r="X14" s="451"/>
      <c r="Y14" s="451"/>
      <c r="Z14" s="478"/>
      <c r="AA14" s="478"/>
      <c r="AB14" s="478"/>
      <c r="AC14" s="478"/>
      <c r="AD14" s="478"/>
      <c r="AE14" s="478"/>
      <c r="AF14" s="478"/>
      <c r="AG14" s="478"/>
      <c r="AH14" s="478"/>
      <c r="AI14" s="478"/>
      <c r="AJ14" s="478"/>
      <c r="AK14" s="478"/>
    </row>
    <row r="15" spans="1:37">
      <c r="E15" s="455"/>
      <c r="F15" s="451"/>
      <c r="G15" s="451"/>
      <c r="H15" s="451"/>
      <c r="I15" s="512"/>
      <c r="J15" s="512"/>
      <c r="K15" s="512"/>
      <c r="L15" s="512"/>
      <c r="M15" s="512"/>
      <c r="N15" s="512"/>
      <c r="O15" s="512"/>
      <c r="P15" s="512"/>
      <c r="Q15" s="451"/>
      <c r="R15" s="451"/>
      <c r="S15" s="451"/>
      <c r="T15" s="456"/>
      <c r="V15" s="455"/>
      <c r="W15" s="451"/>
      <c r="X15" s="451"/>
      <c r="Y15" s="451"/>
      <c r="Z15" s="512"/>
      <c r="AA15" s="512"/>
      <c r="AB15" s="512"/>
      <c r="AC15" s="512"/>
      <c r="AD15" s="512"/>
      <c r="AE15" s="512"/>
      <c r="AF15" s="512"/>
      <c r="AG15" s="512"/>
      <c r="AH15" s="451"/>
      <c r="AI15" s="451"/>
      <c r="AJ15" s="451"/>
      <c r="AK15" s="456"/>
    </row>
    <row r="16" spans="1:37">
      <c r="E16" s="455"/>
      <c r="F16" s="451" t="s">
        <v>170</v>
      </c>
      <c r="G16" s="509"/>
      <c r="H16" s="451"/>
      <c r="I16" s="517">
        <v>3052172</v>
      </c>
      <c r="J16" s="517">
        <v>2821013</v>
      </c>
      <c r="K16" s="517">
        <v>3451479</v>
      </c>
      <c r="L16" s="517">
        <v>6132225</v>
      </c>
      <c r="M16" s="517">
        <v>6058635</v>
      </c>
      <c r="N16" s="517">
        <v>6109886</v>
      </c>
      <c r="O16" s="517">
        <v>7215427.1814600006</v>
      </c>
      <c r="P16" s="517">
        <v>8017892.9077692013</v>
      </c>
      <c r="Q16" s="517">
        <v>8910315.9676889051</v>
      </c>
      <c r="R16" s="517">
        <v>9902857.3858977165</v>
      </c>
      <c r="S16" s="517">
        <v>11006834.124500198</v>
      </c>
      <c r="T16" s="517">
        <v>12234851.456964448</v>
      </c>
      <c r="V16" s="455"/>
      <c r="W16" s="451"/>
      <c r="X16" s="451" t="s">
        <v>170</v>
      </c>
      <c r="Y16" s="520" t="s">
        <v>462</v>
      </c>
      <c r="Z16" s="517">
        <f xml:space="preserve"> FinStat!J$19</f>
        <v>3052172</v>
      </c>
      <c r="AA16" s="517">
        <f xml:space="preserve"> FinStat!K$19</f>
        <v>2821013</v>
      </c>
      <c r="AB16" s="517">
        <f xml:space="preserve"> FinStat!L$19</f>
        <v>3451479</v>
      </c>
      <c r="AC16" s="517">
        <f xml:space="preserve"> FinStat!M$19</f>
        <v>6132225</v>
      </c>
      <c r="AD16" s="517">
        <f xml:space="preserve"> FinStat!N$19</f>
        <v>6058635</v>
      </c>
      <c r="AE16" s="517">
        <f xml:space="preserve"> FinStat!O$19</f>
        <v>6109886</v>
      </c>
      <c r="AF16" s="517">
        <f xml:space="preserve"> FinStat!P$19</f>
        <v>8341713.1165499985</v>
      </c>
      <c r="AG16" s="517">
        <f xml:space="preserve"> FinStat!Q$19</f>
        <v>9829373.8870124966</v>
      </c>
      <c r="AH16" s="517">
        <f xml:space="preserve"> FinStat!R$19</f>
        <v>11587464.533640373</v>
      </c>
      <c r="AI16" s="517">
        <f xml:space="preserve"> FinStat!S$19</f>
        <v>13666005.689977627</v>
      </c>
      <c r="AJ16" s="517">
        <f xml:space="preserve"> FinStat!T$19</f>
        <v>16124412.315023715</v>
      </c>
      <c r="AK16" s="517">
        <f xml:space="preserve"> FinStat!U$19</f>
        <v>19033281.088136598</v>
      </c>
    </row>
    <row r="17" spans="5:37">
      <c r="E17" s="455"/>
      <c r="F17" s="510" t="s">
        <v>465</v>
      </c>
      <c r="G17" s="511"/>
      <c r="H17" s="510"/>
      <c r="I17" s="487">
        <v>0.29680662047622719</v>
      </c>
      <c r="J17" s="487">
        <v>0.2542736891670353</v>
      </c>
      <c r="K17" s="487">
        <v>0.2549242634350114</v>
      </c>
      <c r="L17" s="487">
        <v>0.29763574643063767</v>
      </c>
      <c r="M17" s="487">
        <v>0.31215595857591838</v>
      </c>
      <c r="N17" s="487">
        <v>0.31143149225464095</v>
      </c>
      <c r="O17" s="487">
        <v>0.33099999999999996</v>
      </c>
      <c r="P17" s="487">
        <v>0.33099999999999996</v>
      </c>
      <c r="Q17" s="487">
        <v>0.33099999999999996</v>
      </c>
      <c r="R17" s="487">
        <v>0.33100000000000002</v>
      </c>
      <c r="S17" s="487">
        <v>0.33100000000000002</v>
      </c>
      <c r="T17" s="501">
        <v>0.33099999999999991</v>
      </c>
      <c r="V17" s="455"/>
      <c r="W17" s="451"/>
      <c r="X17" s="510" t="s">
        <v>465</v>
      </c>
      <c r="Y17" s="511" t="s">
        <v>464</v>
      </c>
      <c r="Z17" s="487">
        <f t="shared" ref="Z17:AG17" si="5">Z16/Z12</f>
        <v>0.29680662047622719</v>
      </c>
      <c r="AA17" s="487">
        <f t="shared" si="5"/>
        <v>0.2542736891670353</v>
      </c>
      <c r="AB17" s="487">
        <f t="shared" si="5"/>
        <v>0.2549242634350114</v>
      </c>
      <c r="AC17" s="487">
        <f t="shared" si="5"/>
        <v>0.29763574643063767</v>
      </c>
      <c r="AD17" s="487">
        <f t="shared" si="5"/>
        <v>0.31215595857591838</v>
      </c>
      <c r="AE17" s="487">
        <f t="shared" si="5"/>
        <v>0.31143149225464095</v>
      </c>
      <c r="AF17" s="487">
        <f t="shared" si="5"/>
        <v>0.36099999999999999</v>
      </c>
      <c r="AG17" s="487">
        <f t="shared" si="5"/>
        <v>0.36099999999999993</v>
      </c>
      <c r="AH17" s="487">
        <f t="shared" ref="AH17:AK17" si="6">AH16/AH12</f>
        <v>0.36099999999999999</v>
      </c>
      <c r="AI17" s="487">
        <f t="shared" si="6"/>
        <v>0.36099999999999993</v>
      </c>
      <c r="AJ17" s="487">
        <f t="shared" si="6"/>
        <v>0.36100000000000004</v>
      </c>
      <c r="AK17" s="501">
        <f t="shared" si="6"/>
        <v>0.36099999999999999</v>
      </c>
    </row>
    <row r="18" spans="5:37">
      <c r="E18" s="455"/>
      <c r="F18" s="510" t="s">
        <v>463</v>
      </c>
      <c r="G18" s="511"/>
      <c r="H18" s="510"/>
      <c r="I18" s="514"/>
      <c r="J18" s="487">
        <v>-7.5735902170650959E-2</v>
      </c>
      <c r="K18" s="487">
        <v>0.22348922177955233</v>
      </c>
      <c r="L18" s="487">
        <v>0.776694860377247</v>
      </c>
      <c r="M18" s="487">
        <v>-1.2000538140723771E-2</v>
      </c>
      <c r="N18" s="487">
        <v>8.4591661323054623E-3</v>
      </c>
      <c r="O18" s="487">
        <v>0.18094301292364556</v>
      </c>
      <c r="P18" s="487">
        <v>0.11121527611991322</v>
      </c>
      <c r="Q18" s="502">
        <v>0.1113039386014949</v>
      </c>
      <c r="R18" s="487">
        <v>0.11139239302040704</v>
      </c>
      <c r="S18" s="487">
        <v>0.11148062580145934</v>
      </c>
      <c r="T18" s="501">
        <v>0.11156862350917018</v>
      </c>
      <c r="V18" s="455"/>
      <c r="W18" s="451"/>
      <c r="X18" s="510" t="s">
        <v>463</v>
      </c>
      <c r="Y18" s="511" t="s">
        <v>464</v>
      </c>
      <c r="Z18" s="514"/>
      <c r="AA18" s="487">
        <f t="shared" ref="AA18:AG18" si="7">AA16/Z16-1</f>
        <v>-7.5735902170650959E-2</v>
      </c>
      <c r="AB18" s="487">
        <f t="shared" si="7"/>
        <v>0.22348922177955233</v>
      </c>
      <c r="AC18" s="487">
        <f t="shared" si="7"/>
        <v>0.776694860377247</v>
      </c>
      <c r="AD18" s="487">
        <f t="shared" si="7"/>
        <v>-1.2000538140723771E-2</v>
      </c>
      <c r="AE18" s="487">
        <f t="shared" si="7"/>
        <v>8.4591661323054623E-3</v>
      </c>
      <c r="AF18" s="487">
        <f t="shared" si="7"/>
        <v>0.3652813025562176</v>
      </c>
      <c r="AG18" s="487">
        <f t="shared" si="7"/>
        <v>0.17833995843263573</v>
      </c>
      <c r="AH18" s="502">
        <f t="shared" ref="AH18" si="8">AH16/AG16-1</f>
        <v>0.17886089865304977</v>
      </c>
      <c r="AI18" s="487">
        <f t="shared" ref="AI18" si="9">AI16/AH16-1</f>
        <v>0.17937842660082337</v>
      </c>
      <c r="AJ18" s="487">
        <f t="shared" ref="AJ18" si="10">AJ16/AI16-1</f>
        <v>0.17989211191745902</v>
      </c>
      <c r="AK18" s="501">
        <f t="shared" ref="AK18" si="11">AK16/AJ16-1</f>
        <v>0.18040153751232113</v>
      </c>
    </row>
    <row r="19" spans="5:37">
      <c r="E19" s="455"/>
      <c r="F19" s="513"/>
      <c r="G19" s="513"/>
      <c r="H19" s="513"/>
      <c r="I19" s="478"/>
      <c r="J19" s="478"/>
      <c r="K19" s="478"/>
      <c r="L19" s="478"/>
      <c r="M19" s="478"/>
      <c r="N19" s="478"/>
      <c r="O19" s="478"/>
      <c r="P19" s="478"/>
      <c r="Q19" s="478"/>
      <c r="R19" s="478"/>
      <c r="S19" s="478"/>
      <c r="T19" s="478"/>
      <c r="V19" s="455"/>
      <c r="W19" s="451"/>
      <c r="X19" s="451"/>
      <c r="Y19" s="451"/>
      <c r="Z19" s="478"/>
      <c r="AA19" s="478"/>
      <c r="AB19" s="478"/>
      <c r="AC19" s="478"/>
      <c r="AD19" s="478"/>
      <c r="AE19" s="478"/>
      <c r="AF19" s="478"/>
      <c r="AG19" s="478"/>
      <c r="AH19" s="478"/>
      <c r="AI19" s="478"/>
      <c r="AJ19" s="478"/>
      <c r="AK19" s="478"/>
    </row>
    <row r="20" spans="5:37">
      <c r="E20" s="455"/>
      <c r="F20" s="451"/>
      <c r="G20" s="451"/>
      <c r="H20" s="451"/>
      <c r="I20" s="512"/>
      <c r="J20" s="512"/>
      <c r="K20" s="512"/>
      <c r="L20" s="512"/>
      <c r="M20" s="512"/>
      <c r="N20" s="512"/>
      <c r="O20" s="512"/>
      <c r="P20" s="512"/>
      <c r="Q20" s="451"/>
      <c r="R20" s="451"/>
      <c r="S20" s="451"/>
      <c r="T20" s="456"/>
      <c r="V20" s="455"/>
      <c r="W20" s="451"/>
      <c r="X20" s="451"/>
      <c r="Y20" s="451"/>
      <c r="Z20" s="512"/>
      <c r="AA20" s="512"/>
      <c r="AB20" s="512"/>
      <c r="AC20" s="512"/>
      <c r="AD20" s="512"/>
      <c r="AE20" s="512"/>
      <c r="AF20" s="512"/>
      <c r="AG20" s="512"/>
      <c r="AH20" s="451"/>
      <c r="AI20" s="451"/>
      <c r="AJ20" s="451"/>
      <c r="AK20" s="456"/>
    </row>
    <row r="21" spans="5:37">
      <c r="E21" s="455"/>
      <c r="F21" s="451" t="s">
        <v>466</v>
      </c>
      <c r="G21" s="509"/>
      <c r="H21" s="451"/>
      <c r="I21" s="517">
        <v>1763364.1</v>
      </c>
      <c r="J21" s="517">
        <v>1495660.8</v>
      </c>
      <c r="K21" s="517">
        <v>1705736.4</v>
      </c>
      <c r="L21" s="517">
        <v>3741186.4000000004</v>
      </c>
      <c r="M21" s="517">
        <v>3578185</v>
      </c>
      <c r="N21" s="517">
        <v>3685744.5</v>
      </c>
      <c r="O21" s="517">
        <v>4378824.2327260049</v>
      </c>
      <c r="P21" s="517">
        <v>4803475.1187518947</v>
      </c>
      <c r="Q21" s="517">
        <v>5379397.8467456996</v>
      </c>
      <c r="R21" s="517">
        <v>5970720.1485258341</v>
      </c>
      <c r="S21" s="517">
        <v>6552737.080096025</v>
      </c>
      <c r="T21" s="517">
        <v>7456896.9701665007</v>
      </c>
      <c r="V21" s="455"/>
      <c r="W21" s="451"/>
      <c r="X21" s="451" t="s">
        <v>466</v>
      </c>
      <c r="Y21" s="520" t="s">
        <v>462</v>
      </c>
      <c r="Z21" s="517">
        <f xml:space="preserve"> FinStat!J$25</f>
        <v>1763364.1</v>
      </c>
      <c r="AA21" s="517">
        <f xml:space="preserve"> FinStat!K$25</f>
        <v>1495660.8</v>
      </c>
      <c r="AB21" s="517">
        <f xml:space="preserve"> FinStat!L$25</f>
        <v>1705736.4</v>
      </c>
      <c r="AC21" s="517">
        <f xml:space="preserve"> FinStat!M$25</f>
        <v>3741186.4000000004</v>
      </c>
      <c r="AD21" s="517">
        <f xml:space="preserve"> FinStat!N$25</f>
        <v>3578185</v>
      </c>
      <c r="AE21" s="517">
        <f xml:space="preserve"> FinStat!O$25</f>
        <v>3685744.5</v>
      </c>
      <c r="AF21" s="517">
        <f xml:space="preserve"> FinStat!P$25</f>
        <v>5151456.3841977436</v>
      </c>
      <c r="AG21" s="517">
        <f xml:space="preserve"> FinStat!Q$25</f>
        <v>6046151.0705127949</v>
      </c>
      <c r="AH21" s="517">
        <f xml:space="preserve"> FinStat!R$25</f>
        <v>7215921.7629884072</v>
      </c>
      <c r="AI21" s="517">
        <f xml:space="preserve"> FinStat!S$25</f>
        <v>8552239.8851246536</v>
      </c>
      <c r="AJ21" s="517">
        <f xml:space="preserve"> FinStat!T$25</f>
        <v>10063395.718795158</v>
      </c>
      <c r="AK21" s="517">
        <f xml:space="preserve"> FinStat!U$25</f>
        <v>12120619.697150595</v>
      </c>
    </row>
    <row r="22" spans="5:37">
      <c r="E22" s="455"/>
      <c r="F22" s="510" t="s">
        <v>465</v>
      </c>
      <c r="G22" s="515"/>
      <c r="H22" s="510"/>
      <c r="I22" s="487">
        <v>0.17147727558935211</v>
      </c>
      <c r="J22" s="487">
        <v>0.13481227819883121</v>
      </c>
      <c r="K22" s="487">
        <v>0.12598471420057547</v>
      </c>
      <c r="L22" s="487">
        <v>0.18158348832603996</v>
      </c>
      <c r="M22" s="487">
        <v>0.18435699933020763</v>
      </c>
      <c r="N22" s="487">
        <v>0.18786879324824315</v>
      </c>
      <c r="O22" s="487">
        <v>0.2008738754590316</v>
      </c>
      <c r="P22" s="487">
        <v>0.19830026200103551</v>
      </c>
      <c r="Q22" s="487">
        <v>0.19983361911403247</v>
      </c>
      <c r="R22" s="487">
        <v>0.19956950727942793</v>
      </c>
      <c r="S22" s="487">
        <v>0.19705538840490822</v>
      </c>
      <c r="T22" s="501">
        <v>0.2017378719968127</v>
      </c>
      <c r="V22" s="455"/>
      <c r="W22" s="451"/>
      <c r="X22" s="510" t="s">
        <v>465</v>
      </c>
      <c r="Y22" s="511" t="s">
        <v>464</v>
      </c>
      <c r="Z22" s="487">
        <f>Z21/Z12</f>
        <v>0.17147727558935211</v>
      </c>
      <c r="AA22" s="487">
        <f>AA21/AA12</f>
        <v>0.13481227819883121</v>
      </c>
      <c r="AB22" s="487">
        <f t="shared" ref="AB22:AG22" si="12">AB21/AB12</f>
        <v>0.12598471420057547</v>
      </c>
      <c r="AC22" s="487">
        <f t="shared" si="12"/>
        <v>0.18158348832603996</v>
      </c>
      <c r="AD22" s="487">
        <f t="shared" si="12"/>
        <v>0.18435699933020763</v>
      </c>
      <c r="AE22" s="487">
        <f t="shared" si="12"/>
        <v>0.18786879324824315</v>
      </c>
      <c r="AF22" s="487">
        <f t="shared" si="12"/>
        <v>0.22293691100522023</v>
      </c>
      <c r="AG22" s="487">
        <f t="shared" si="12"/>
        <v>0.22205488991918979</v>
      </c>
      <c r="AH22" s="487">
        <f t="shared" ref="AH22:AK22" si="13">AH21/AH12</f>
        <v>0.22480739844995512</v>
      </c>
      <c r="AI22" s="487">
        <f t="shared" si="13"/>
        <v>0.22591521389415242</v>
      </c>
      <c r="AJ22" s="487">
        <f t="shared" si="13"/>
        <v>0.22530345810496036</v>
      </c>
      <c r="AK22" s="501">
        <f t="shared" si="13"/>
        <v>0.22988909218593065</v>
      </c>
    </row>
    <row r="23" spans="5:37">
      <c r="E23" s="455"/>
      <c r="F23" s="510" t="s">
        <v>463</v>
      </c>
      <c r="G23" s="515"/>
      <c r="H23" s="510"/>
      <c r="I23" s="514"/>
      <c r="J23" s="487">
        <v>-0.15181396740468978</v>
      </c>
      <c r="K23" s="487">
        <v>0.14045671317988662</v>
      </c>
      <c r="L23" s="487">
        <v>1.1932969244251344</v>
      </c>
      <c r="M23" s="487">
        <v>-4.356944096664106E-2</v>
      </c>
      <c r="N23" s="487">
        <v>3.0059792883822434E-2</v>
      </c>
      <c r="O23" s="487">
        <v>0.18804334720597282</v>
      </c>
      <c r="P23" s="487">
        <v>9.697828993732549E-2</v>
      </c>
      <c r="Q23" s="502">
        <v>0.11989709819574323</v>
      </c>
      <c r="R23" s="487">
        <v>0.10992351163204228</v>
      </c>
      <c r="S23" s="487">
        <v>9.7478514666926808E-2</v>
      </c>
      <c r="T23" s="501">
        <v>0.13798201866161652</v>
      </c>
      <c r="V23" s="455"/>
      <c r="W23" s="451"/>
      <c r="X23" s="510" t="s">
        <v>463</v>
      </c>
      <c r="Y23" s="511" t="s">
        <v>464</v>
      </c>
      <c r="Z23" s="514"/>
      <c r="AA23" s="487">
        <f>AA21/Z21-1</f>
        <v>-0.15181396740468978</v>
      </c>
      <c r="AB23" s="487">
        <f t="shared" ref="AB23:AG23" si="14">AB21/AA21-1</f>
        <v>0.14045671317988662</v>
      </c>
      <c r="AC23" s="487">
        <f t="shared" si="14"/>
        <v>1.1932969244251344</v>
      </c>
      <c r="AD23" s="487">
        <f t="shared" si="14"/>
        <v>-4.356944096664106E-2</v>
      </c>
      <c r="AE23" s="487">
        <f t="shared" si="14"/>
        <v>3.0059792883822434E-2</v>
      </c>
      <c r="AF23" s="487">
        <f t="shared" si="14"/>
        <v>0.39767050705705276</v>
      </c>
      <c r="AG23" s="487">
        <f t="shared" si="14"/>
        <v>0.1736780086228733</v>
      </c>
      <c r="AH23" s="502">
        <f t="shared" ref="AH23" si="15">AH21/AG21-1</f>
        <v>0.19347361301979515</v>
      </c>
      <c r="AI23" s="487">
        <f t="shared" ref="AI23" si="16">AI21/AH21-1</f>
        <v>0.18519021769199773</v>
      </c>
      <c r="AJ23" s="487">
        <f t="shared" ref="AJ23" si="17">AJ21/AI21-1</f>
        <v>0.17669708216428015</v>
      </c>
      <c r="AK23" s="501">
        <f t="shared" ref="AK23" si="18">AK21/AJ21-1</f>
        <v>0.20442642184021542</v>
      </c>
    </row>
    <row r="24" spans="5:37">
      <c r="E24" s="455"/>
      <c r="F24" s="510"/>
      <c r="G24" s="515"/>
      <c r="H24" s="510"/>
      <c r="I24" s="478"/>
      <c r="J24" s="478"/>
      <c r="K24" s="478"/>
      <c r="L24" s="478"/>
      <c r="M24" s="478"/>
      <c r="N24" s="478"/>
      <c r="O24" s="478"/>
      <c r="P24" s="478"/>
      <c r="Q24" s="478"/>
      <c r="R24" s="478"/>
      <c r="S24" s="478"/>
      <c r="T24" s="478"/>
      <c r="V24" s="455"/>
      <c r="W24" s="451"/>
      <c r="X24" s="510"/>
      <c r="Y24" s="511"/>
      <c r="Z24" s="478"/>
      <c r="AA24" s="478"/>
      <c r="AB24" s="478"/>
      <c r="AC24" s="478"/>
      <c r="AD24" s="478"/>
      <c r="AE24" s="478"/>
      <c r="AF24" s="478"/>
      <c r="AG24" s="478"/>
      <c r="AH24" s="478"/>
      <c r="AI24" s="478"/>
      <c r="AJ24" s="478"/>
      <c r="AK24" s="478"/>
    </row>
    <row r="25" spans="5:37">
      <c r="E25" s="455"/>
      <c r="F25" s="451" t="s">
        <v>391</v>
      </c>
      <c r="G25" s="509"/>
      <c r="H25" s="510"/>
      <c r="I25" s="517">
        <v>1555161</v>
      </c>
      <c r="J25" s="517">
        <v>581664</v>
      </c>
      <c r="K25" s="517">
        <v>1831507</v>
      </c>
      <c r="L25" s="517">
        <v>3977582</v>
      </c>
      <c r="M25" s="517">
        <v>3573750</v>
      </c>
      <c r="N25" s="517">
        <v>2533846</v>
      </c>
      <c r="O25" s="517">
        <v>4843469.9967372511</v>
      </c>
      <c r="P25" s="517">
        <v>5251793.0155785</v>
      </c>
      <c r="Q25" s="517">
        <v>5873807.1506365221</v>
      </c>
      <c r="R25" s="517">
        <v>4587110.1058737012</v>
      </c>
      <c r="S25" s="517">
        <v>7913584.420108757</v>
      </c>
      <c r="T25" s="517">
        <v>8720621.4901917055</v>
      </c>
      <c r="V25" s="455"/>
      <c r="W25" s="451"/>
      <c r="X25" s="451" t="s">
        <v>391</v>
      </c>
      <c r="Y25" s="520" t="s">
        <v>462</v>
      </c>
      <c r="Z25" s="517">
        <f xml:space="preserve"> Valn!J$13</f>
        <v>1555161</v>
      </c>
      <c r="AA25" s="517">
        <f xml:space="preserve"> Valn!K$13</f>
        <v>581664</v>
      </c>
      <c r="AB25" s="517">
        <f xml:space="preserve"> Valn!L$13</f>
        <v>1831507</v>
      </c>
      <c r="AC25" s="517">
        <f xml:space="preserve"> Valn!M$13</f>
        <v>3977582</v>
      </c>
      <c r="AD25" s="517">
        <f xml:space="preserve"> Valn!N$13</f>
        <v>3573750</v>
      </c>
      <c r="AE25" s="517">
        <f xml:space="preserve"> Valn!O$13</f>
        <v>2533846</v>
      </c>
      <c r="AF25" s="517">
        <f xml:space="preserve"> Valn!P$13</f>
        <v>5441919.7986854557</v>
      </c>
      <c r="AG25" s="517">
        <f xml:space="preserve"> Valn!Q$13</f>
        <v>6386092.6756404825</v>
      </c>
      <c r="AH25" s="517">
        <f xml:space="preserve"> Valn!R$13</f>
        <v>7578234.1220564237</v>
      </c>
      <c r="AI25" s="517">
        <f xml:space="preserve"> Valn!S$13</f>
        <v>7007931.9944153912</v>
      </c>
      <c r="AJ25" s="517">
        <f xml:space="preserve"> Valn!T$13</f>
        <v>11229086.418404978</v>
      </c>
      <c r="AK25" s="517">
        <f xml:space="preserve"> Valn!U$13</f>
        <v>13147699.584258456</v>
      </c>
    </row>
    <row r="26" spans="5:37">
      <c r="E26" s="455"/>
      <c r="F26" s="510" t="s">
        <v>463</v>
      </c>
      <c r="G26" s="515"/>
      <c r="H26" s="510"/>
      <c r="I26" s="514"/>
      <c r="J26" s="487">
        <f>J25/I25-1</f>
        <v>-0.62597827491815961</v>
      </c>
      <c r="K26" s="487">
        <f t="shared" ref="K26:T26" si="19">K25/J25-1</f>
        <v>2.1487370715739673</v>
      </c>
      <c r="L26" s="487">
        <f t="shared" si="19"/>
        <v>1.1717536433112188</v>
      </c>
      <c r="M26" s="487">
        <f t="shared" si="19"/>
        <v>-0.10152700811699167</v>
      </c>
      <c r="N26" s="487">
        <f t="shared" si="19"/>
        <v>-0.29098398041273177</v>
      </c>
      <c r="O26" s="487">
        <f t="shared" si="19"/>
        <v>0.91150922224051945</v>
      </c>
      <c r="P26" s="487">
        <f t="shared" si="19"/>
        <v>8.4303819186721807E-2</v>
      </c>
      <c r="Q26" s="487">
        <f t="shared" si="19"/>
        <v>0.11843843297192569</v>
      </c>
      <c r="R26" s="487">
        <f t="shared" si="19"/>
        <v>-0.21905673982220997</v>
      </c>
      <c r="S26" s="487">
        <f t="shared" si="19"/>
        <v>0.72517865005585391</v>
      </c>
      <c r="T26" s="487">
        <f t="shared" si="19"/>
        <v>0.10198122964762124</v>
      </c>
      <c r="V26" s="455"/>
      <c r="W26" s="451"/>
      <c r="X26" s="510" t="s">
        <v>463</v>
      </c>
      <c r="Y26" s="511" t="s">
        <v>179</v>
      </c>
      <c r="Z26" s="514"/>
      <c r="AA26" s="487">
        <f>AA25/Z25-1</f>
        <v>-0.62597827491815961</v>
      </c>
      <c r="AB26" s="487">
        <f t="shared" ref="AB26:AK26" si="20">AB25/AA25-1</f>
        <v>2.1487370715739673</v>
      </c>
      <c r="AC26" s="487">
        <f t="shared" si="20"/>
        <v>1.1717536433112188</v>
      </c>
      <c r="AD26" s="487">
        <f t="shared" si="20"/>
        <v>-0.10152700811699167</v>
      </c>
      <c r="AE26" s="487">
        <f t="shared" si="20"/>
        <v>-0.29098398041273177</v>
      </c>
      <c r="AF26" s="487">
        <f t="shared" si="20"/>
        <v>1.1476916113629065</v>
      </c>
      <c r="AG26" s="487">
        <f t="shared" si="20"/>
        <v>0.17349996175671323</v>
      </c>
      <c r="AH26" s="487">
        <f t="shared" si="20"/>
        <v>0.18667775539232645</v>
      </c>
      <c r="AI26" s="487">
        <f t="shared" si="20"/>
        <v>-7.5255279588310686E-2</v>
      </c>
      <c r="AJ26" s="487">
        <f t="shared" si="20"/>
        <v>0.60233952432092908</v>
      </c>
      <c r="AK26" s="487">
        <f t="shared" si="20"/>
        <v>0.17086102059992925</v>
      </c>
    </row>
    <row r="27" spans="5:37">
      <c r="E27" s="455"/>
      <c r="F27" s="510"/>
      <c r="G27" s="515"/>
      <c r="H27" s="510"/>
      <c r="I27" s="514"/>
      <c r="J27" s="487"/>
      <c r="K27" s="487"/>
      <c r="L27" s="487"/>
      <c r="M27" s="487"/>
      <c r="N27" s="487"/>
      <c r="O27" s="487"/>
      <c r="P27" s="487"/>
      <c r="Q27" s="502"/>
      <c r="R27" s="487"/>
      <c r="S27" s="487"/>
      <c r="T27" s="501"/>
      <c r="V27" s="455"/>
      <c r="W27" s="451"/>
      <c r="X27" s="510"/>
      <c r="Y27" s="511"/>
      <c r="Z27" s="514"/>
      <c r="AA27" s="487"/>
      <c r="AB27" s="487"/>
      <c r="AC27" s="487"/>
      <c r="AD27" s="487"/>
      <c r="AE27" s="487"/>
      <c r="AF27" s="487"/>
      <c r="AG27" s="487"/>
      <c r="AH27" s="502"/>
      <c r="AI27" s="487"/>
      <c r="AJ27" s="487"/>
      <c r="AK27" s="501"/>
    </row>
    <row r="28" spans="5:37">
      <c r="E28" s="455"/>
      <c r="F28" s="510"/>
      <c r="G28" s="515"/>
      <c r="H28" s="510"/>
      <c r="I28" s="514"/>
      <c r="J28" s="487"/>
      <c r="K28" s="487"/>
      <c r="L28" s="487"/>
      <c r="M28" s="487"/>
      <c r="N28" s="487"/>
      <c r="O28" s="487"/>
      <c r="P28" s="487"/>
      <c r="Q28" s="457"/>
      <c r="R28" s="457"/>
      <c r="S28" s="457"/>
      <c r="T28" s="499"/>
      <c r="V28" s="455"/>
      <c r="W28" s="451"/>
      <c r="X28" s="510"/>
      <c r="Y28" s="511"/>
      <c r="Z28" s="511"/>
      <c r="AA28" s="468"/>
      <c r="AB28" s="468"/>
      <c r="AC28" s="468"/>
      <c r="AD28" s="468"/>
      <c r="AE28" s="468"/>
      <c r="AF28" s="468"/>
      <c r="AG28" s="468"/>
      <c r="AH28" s="468"/>
      <c r="AI28" s="468"/>
      <c r="AJ28" s="468"/>
      <c r="AK28" s="477"/>
    </row>
    <row r="29" spans="5:37">
      <c r="E29" s="508" t="s">
        <v>467</v>
      </c>
      <c r="F29" s="510"/>
      <c r="G29" s="516">
        <v>409.20524413525732</v>
      </c>
      <c r="H29" s="510"/>
      <c r="I29" s="514"/>
      <c r="J29" s="487"/>
      <c r="K29" s="487"/>
      <c r="L29" s="487"/>
      <c r="M29" s="487"/>
      <c r="N29" s="487"/>
      <c r="O29" s="487"/>
      <c r="P29" s="487"/>
      <c r="Q29" s="457"/>
      <c r="R29" s="457"/>
      <c r="S29" s="457"/>
      <c r="T29" s="499"/>
      <c r="V29" s="455"/>
      <c r="W29" s="519" t="s">
        <v>467</v>
      </c>
      <c r="X29" s="510"/>
      <c r="Y29" s="516">
        <f xml:space="preserve"> Valn!F$74</f>
        <v>596.18312819813843</v>
      </c>
      <c r="Z29" s="511"/>
      <c r="AA29" s="468"/>
      <c r="AB29" s="468"/>
      <c r="AC29" s="468"/>
      <c r="AD29" s="468"/>
      <c r="AE29" s="468"/>
      <c r="AF29" s="468"/>
      <c r="AG29" s="468"/>
      <c r="AH29" s="468"/>
      <c r="AI29" s="468"/>
      <c r="AJ29" s="468"/>
      <c r="AK29" s="477"/>
    </row>
    <row r="30" spans="5:37">
      <c r="E30" s="455"/>
      <c r="F30" s="510"/>
      <c r="G30" s="515"/>
      <c r="H30" s="510"/>
      <c r="I30" s="514"/>
      <c r="J30" s="487"/>
      <c r="K30" s="487"/>
      <c r="L30" s="487"/>
      <c r="M30" s="487"/>
      <c r="N30" s="487"/>
      <c r="O30" s="487"/>
      <c r="P30" s="487"/>
      <c r="Q30" s="457"/>
      <c r="R30" s="457"/>
      <c r="S30" s="457"/>
      <c r="T30" s="499"/>
      <c r="V30" s="455"/>
      <c r="W30" s="451"/>
      <c r="X30" s="510"/>
      <c r="Y30" s="511"/>
      <c r="Z30" s="511"/>
      <c r="AA30" s="468"/>
      <c r="AB30" s="468"/>
      <c r="AC30" s="468"/>
      <c r="AD30" s="468"/>
      <c r="AE30" s="468"/>
      <c r="AF30" s="468"/>
      <c r="AG30" s="468"/>
      <c r="AH30" s="468"/>
      <c r="AI30" s="468"/>
      <c r="AJ30" s="468"/>
      <c r="AK30" s="477"/>
    </row>
    <row r="31" spans="5:37">
      <c r="E31" s="458"/>
      <c r="F31" s="500"/>
      <c r="G31" s="459"/>
      <c r="H31" s="459"/>
      <c r="I31" s="459"/>
      <c r="J31" s="459"/>
      <c r="K31" s="459"/>
      <c r="L31" s="459"/>
      <c r="M31" s="459"/>
      <c r="N31" s="459"/>
      <c r="O31" s="459"/>
      <c r="P31" s="459"/>
      <c r="Q31" s="459"/>
      <c r="R31" s="459"/>
      <c r="S31" s="459"/>
      <c r="T31" s="460"/>
      <c r="V31" s="458"/>
      <c r="W31" s="459"/>
      <c r="X31" s="459"/>
      <c r="Y31" s="459"/>
      <c r="Z31" s="459"/>
      <c r="AA31" s="459"/>
      <c r="AB31" s="459"/>
      <c r="AC31" s="459"/>
      <c r="AD31" s="459"/>
      <c r="AE31" s="459"/>
      <c r="AF31" s="459"/>
      <c r="AG31" s="459"/>
      <c r="AH31" s="459"/>
      <c r="AI31" s="469"/>
      <c r="AJ31" s="469"/>
      <c r="AK31" s="470"/>
    </row>
    <row r="33" spans="5:20" ht="18.75">
      <c r="E33" s="449" t="s">
        <v>471</v>
      </c>
      <c r="F33" s="449"/>
      <c r="G33" s="449"/>
      <c r="H33" s="449"/>
      <c r="I33" s="450"/>
      <c r="J33" s="450"/>
      <c r="K33" s="450"/>
      <c r="L33" s="450"/>
      <c r="M33" s="450"/>
      <c r="N33" s="450"/>
      <c r="O33" s="450"/>
      <c r="P33" s="450"/>
      <c r="Q33" s="450"/>
      <c r="R33" s="450"/>
      <c r="S33" s="450"/>
      <c r="T33" s="450"/>
    </row>
    <row r="34" spans="5:20">
      <c r="E34" s="488"/>
      <c r="F34" s="489"/>
      <c r="G34" s="489"/>
      <c r="H34" s="489"/>
      <c r="I34" s="490"/>
      <c r="J34" s="490"/>
      <c r="K34" s="490"/>
      <c r="L34" s="491"/>
      <c r="M34" s="492"/>
      <c r="N34" s="492"/>
      <c r="O34" s="491"/>
      <c r="P34" s="491" t="s">
        <v>459</v>
      </c>
      <c r="Q34" s="490"/>
      <c r="R34" s="490"/>
      <c r="S34" s="490"/>
      <c r="T34" s="493"/>
    </row>
    <row r="35" spans="5:20">
      <c r="E35" s="503" t="s">
        <v>470</v>
      </c>
      <c r="F35" s="504"/>
      <c r="G35" s="505" t="s">
        <v>469</v>
      </c>
      <c r="H35" s="504"/>
      <c r="I35" s="481" t="s">
        <v>472</v>
      </c>
      <c r="J35" s="481" t="s">
        <v>472</v>
      </c>
      <c r="K35" s="481" t="s">
        <v>472</v>
      </c>
      <c r="L35" s="482" t="s">
        <v>472</v>
      </c>
      <c r="M35" s="482" t="s">
        <v>472</v>
      </c>
      <c r="N35" s="482" t="s">
        <v>472</v>
      </c>
      <c r="O35" s="482" t="s">
        <v>473</v>
      </c>
      <c r="P35" s="482" t="s">
        <v>473</v>
      </c>
      <c r="Q35" s="482" t="s">
        <v>473</v>
      </c>
      <c r="R35" s="482" t="s">
        <v>473</v>
      </c>
      <c r="S35" s="482" t="s">
        <v>473</v>
      </c>
      <c r="T35" s="494" t="s">
        <v>473</v>
      </c>
    </row>
    <row r="36" spans="5:20">
      <c r="E36" s="495"/>
      <c r="F36" s="506"/>
      <c r="G36" s="506"/>
      <c r="H36" s="506"/>
      <c r="I36" s="483"/>
      <c r="J36" s="483"/>
      <c r="K36" s="484"/>
      <c r="L36" s="479"/>
      <c r="M36" s="479"/>
      <c r="N36" s="479"/>
      <c r="O36" s="479"/>
      <c r="P36" s="479"/>
      <c r="Q36" s="479"/>
      <c r="R36" s="479"/>
      <c r="S36" s="479"/>
      <c r="T36" s="496"/>
    </row>
    <row r="37" spans="5:20">
      <c r="E37" s="497"/>
      <c r="F37" s="507"/>
      <c r="G37" s="507"/>
      <c r="H37" s="507"/>
      <c r="I37" s="485"/>
      <c r="J37" s="485"/>
      <c r="K37" s="486"/>
      <c r="L37" s="480"/>
      <c r="M37" s="480"/>
      <c r="N37" s="480"/>
      <c r="O37" s="480"/>
      <c r="P37" s="480"/>
      <c r="Q37" s="480"/>
      <c r="R37" s="480"/>
      <c r="S37" s="480"/>
      <c r="T37" s="498"/>
    </row>
    <row r="38" spans="5:20">
      <c r="E38" s="508" t="s">
        <v>460</v>
      </c>
      <c r="F38" s="451"/>
      <c r="G38" s="451"/>
      <c r="H38" s="451"/>
      <c r="I38" s="451"/>
      <c r="J38" s="451"/>
      <c r="K38" s="451"/>
      <c r="L38" s="451"/>
      <c r="M38" s="451"/>
      <c r="N38" s="451"/>
      <c r="O38" s="451"/>
      <c r="P38" s="451"/>
      <c r="Q38" s="451"/>
      <c r="R38" s="451"/>
      <c r="S38" s="451"/>
      <c r="T38" s="456"/>
    </row>
    <row r="39" spans="5:20">
      <c r="E39" s="508"/>
      <c r="F39" s="451"/>
      <c r="G39" s="451"/>
      <c r="H39" s="451"/>
      <c r="I39" s="451"/>
      <c r="J39" s="451"/>
      <c r="K39" s="451"/>
      <c r="L39" s="451"/>
      <c r="M39" s="451"/>
      <c r="N39" s="451"/>
      <c r="O39" s="451"/>
      <c r="P39" s="451"/>
      <c r="Q39" s="451"/>
      <c r="R39" s="451"/>
      <c r="S39" s="451"/>
      <c r="T39" s="456"/>
    </row>
    <row r="40" spans="5:20">
      <c r="E40" s="455"/>
      <c r="F40" s="451" t="s">
        <v>461</v>
      </c>
      <c r="G40" s="509"/>
      <c r="H40" s="451"/>
      <c r="I40" s="517">
        <v>10283369</v>
      </c>
      <c r="J40" s="517">
        <v>11094396</v>
      </c>
      <c r="K40" s="517">
        <v>13539233</v>
      </c>
      <c r="L40" s="517">
        <v>20603120</v>
      </c>
      <c r="M40" s="517">
        <v>19409000</v>
      </c>
      <c r="N40" s="517">
        <v>19618716</v>
      </c>
      <c r="O40" s="517">
        <v>23107238.549999997</v>
      </c>
      <c r="P40" s="517">
        <v>27228182.512499996</v>
      </c>
      <c r="Q40" s="517">
        <v>32098239.705374997</v>
      </c>
      <c r="R40" s="517">
        <v>37855971.440381244</v>
      </c>
      <c r="S40" s="517">
        <v>44665962.09147843</v>
      </c>
      <c r="T40" s="521">
        <v>52723770.327248193</v>
      </c>
    </row>
    <row r="41" spans="5:20">
      <c r="E41" s="455"/>
      <c r="F41" s="510" t="s">
        <v>463</v>
      </c>
      <c r="G41" s="511"/>
      <c r="H41" s="510"/>
      <c r="I41" s="512"/>
      <c r="J41" s="487">
        <v>7.8867830182890453E-2</v>
      </c>
      <c r="K41" s="487">
        <v>0.22036684106101845</v>
      </c>
      <c r="L41" s="487">
        <v>0.52173465069993252</v>
      </c>
      <c r="M41" s="487">
        <v>-5.7958212154275657E-2</v>
      </c>
      <c r="N41" s="487">
        <v>1.0805090421969199E-2</v>
      </c>
      <c r="O41" s="487">
        <v>0.17781604820621277</v>
      </c>
      <c r="P41" s="487">
        <v>0.17833995843263573</v>
      </c>
      <c r="Q41" s="487">
        <v>0.17886089865304977</v>
      </c>
      <c r="R41" s="487">
        <v>0.17937842660082337</v>
      </c>
      <c r="S41" s="487">
        <v>0.1798921119174588</v>
      </c>
      <c r="T41" s="501">
        <v>0.18040153751232113</v>
      </c>
    </row>
    <row r="42" spans="5:20">
      <c r="E42" s="455"/>
      <c r="F42" s="513"/>
      <c r="G42" s="513"/>
      <c r="H42" s="513"/>
      <c r="I42" s="478"/>
      <c r="J42" s="478"/>
      <c r="K42" s="478"/>
      <c r="L42" s="478"/>
      <c r="M42" s="478"/>
      <c r="N42" s="478"/>
      <c r="O42" s="478"/>
      <c r="P42" s="478"/>
      <c r="Q42" s="478"/>
      <c r="R42" s="478"/>
      <c r="S42" s="478"/>
      <c r="T42" s="522"/>
    </row>
    <row r="43" spans="5:20">
      <c r="E43" s="455"/>
      <c r="F43" s="451"/>
      <c r="G43" s="451"/>
      <c r="H43" s="451"/>
      <c r="I43" s="512"/>
      <c r="J43" s="512"/>
      <c r="K43" s="512"/>
      <c r="L43" s="512"/>
      <c r="M43" s="512"/>
      <c r="N43" s="512"/>
      <c r="O43" s="512"/>
      <c r="P43" s="512"/>
      <c r="Q43" s="451"/>
      <c r="R43" s="451"/>
      <c r="S43" s="451"/>
      <c r="T43" s="456"/>
    </row>
    <row r="44" spans="5:20">
      <c r="E44" s="455"/>
      <c r="F44" s="451" t="s">
        <v>170</v>
      </c>
      <c r="G44" s="509"/>
      <c r="H44" s="451"/>
      <c r="I44" s="517">
        <v>3052172</v>
      </c>
      <c r="J44" s="517">
        <v>2821013</v>
      </c>
      <c r="K44" s="517">
        <v>3451479</v>
      </c>
      <c r="L44" s="517">
        <v>6132225</v>
      </c>
      <c r="M44" s="517">
        <v>6058635</v>
      </c>
      <c r="N44" s="517">
        <v>6109886</v>
      </c>
      <c r="O44" s="517">
        <v>8341713.1165499985</v>
      </c>
      <c r="P44" s="517">
        <v>9829373.8870124966</v>
      </c>
      <c r="Q44" s="517">
        <v>11587464.533640373</v>
      </c>
      <c r="R44" s="517">
        <v>13666005.689977627</v>
      </c>
      <c r="S44" s="517">
        <v>16124412.315023715</v>
      </c>
      <c r="T44" s="521">
        <v>19033281.088136598</v>
      </c>
    </row>
    <row r="45" spans="5:20">
      <c r="E45" s="455"/>
      <c r="F45" s="510" t="s">
        <v>465</v>
      </c>
      <c r="G45" s="511"/>
      <c r="H45" s="510"/>
      <c r="I45" s="487">
        <v>0.29680662047622719</v>
      </c>
      <c r="J45" s="487">
        <v>0.2542736891670353</v>
      </c>
      <c r="K45" s="487">
        <v>0.2549242634350114</v>
      </c>
      <c r="L45" s="487">
        <v>0.29763574643063767</v>
      </c>
      <c r="M45" s="487">
        <v>0.31215595857591838</v>
      </c>
      <c r="N45" s="487">
        <v>0.31143149225464095</v>
      </c>
      <c r="O45" s="487">
        <v>0.36099999999999999</v>
      </c>
      <c r="P45" s="487">
        <v>0.36099999999999993</v>
      </c>
      <c r="Q45" s="487">
        <v>0.36099999999999999</v>
      </c>
      <c r="R45" s="487">
        <v>0.36099999999999993</v>
      </c>
      <c r="S45" s="487">
        <v>0.36100000000000004</v>
      </c>
      <c r="T45" s="501">
        <v>0.36099999999999999</v>
      </c>
    </row>
    <row r="46" spans="5:20">
      <c r="E46" s="455"/>
      <c r="F46" s="510" t="s">
        <v>463</v>
      </c>
      <c r="G46" s="511"/>
      <c r="H46" s="510"/>
      <c r="I46" s="514"/>
      <c r="J46" s="487">
        <v>-7.5735902170650959E-2</v>
      </c>
      <c r="K46" s="487">
        <v>0.22348922177955233</v>
      </c>
      <c r="L46" s="487">
        <v>0.776694860377247</v>
      </c>
      <c r="M46" s="487">
        <v>-1.2000538140723771E-2</v>
      </c>
      <c r="N46" s="487">
        <v>8.4591661323054623E-3</v>
      </c>
      <c r="O46" s="487">
        <v>0.3652813025562176</v>
      </c>
      <c r="P46" s="487">
        <v>0.17833995843263573</v>
      </c>
      <c r="Q46" s="502">
        <v>0.17886089865304977</v>
      </c>
      <c r="R46" s="487">
        <v>0.17937842660082337</v>
      </c>
      <c r="S46" s="487">
        <v>0.17989211191745902</v>
      </c>
      <c r="T46" s="501">
        <v>0.18040153751232113</v>
      </c>
    </row>
    <row r="47" spans="5:20">
      <c r="E47" s="455"/>
      <c r="F47" s="513"/>
      <c r="G47" s="513"/>
      <c r="H47" s="513"/>
      <c r="I47" s="478"/>
      <c r="J47" s="478"/>
      <c r="K47" s="478"/>
      <c r="L47" s="478"/>
      <c r="M47" s="478"/>
      <c r="N47" s="478"/>
      <c r="O47" s="478"/>
      <c r="P47" s="478"/>
      <c r="Q47" s="478"/>
      <c r="R47" s="478"/>
      <c r="S47" s="478"/>
      <c r="T47" s="522"/>
    </row>
    <row r="48" spans="5:20">
      <c r="E48" s="455"/>
      <c r="F48" s="451"/>
      <c r="G48" s="451"/>
      <c r="H48" s="451"/>
      <c r="I48" s="512"/>
      <c r="J48" s="512"/>
      <c r="K48" s="512"/>
      <c r="L48" s="512"/>
      <c r="M48" s="512"/>
      <c r="N48" s="512"/>
      <c r="O48" s="512"/>
      <c r="P48" s="512"/>
      <c r="Q48" s="451"/>
      <c r="R48" s="451"/>
      <c r="S48" s="451"/>
      <c r="T48" s="456"/>
    </row>
    <row r="49" spans="5:20">
      <c r="E49" s="455"/>
      <c r="F49" s="451" t="s">
        <v>466</v>
      </c>
      <c r="G49" s="509"/>
      <c r="H49" s="451"/>
      <c r="I49" s="517">
        <v>1763364.1</v>
      </c>
      <c r="J49" s="517">
        <v>1495660.8</v>
      </c>
      <c r="K49" s="517">
        <v>1705736.4</v>
      </c>
      <c r="L49" s="517">
        <v>3741186.4000000004</v>
      </c>
      <c r="M49" s="517">
        <v>3578185</v>
      </c>
      <c r="N49" s="517">
        <v>3685744.5</v>
      </c>
      <c r="O49" s="517">
        <v>5151456.3841977436</v>
      </c>
      <c r="P49" s="517">
        <v>6046151.0705127949</v>
      </c>
      <c r="Q49" s="517">
        <v>7215921.7629884072</v>
      </c>
      <c r="R49" s="517">
        <v>8552239.8851246536</v>
      </c>
      <c r="S49" s="517">
        <v>10063395.718795158</v>
      </c>
      <c r="T49" s="521">
        <v>12120619.697150595</v>
      </c>
    </row>
    <row r="50" spans="5:20">
      <c r="E50" s="455"/>
      <c r="F50" s="510" t="s">
        <v>465</v>
      </c>
      <c r="G50" s="515"/>
      <c r="H50" s="510"/>
      <c r="I50" s="487">
        <v>0.17147727558935211</v>
      </c>
      <c r="J50" s="487">
        <v>0.13481227819883121</v>
      </c>
      <c r="K50" s="487">
        <v>0.12598471420057547</v>
      </c>
      <c r="L50" s="487">
        <v>0.18158348832603996</v>
      </c>
      <c r="M50" s="487">
        <v>0.18435699933020763</v>
      </c>
      <c r="N50" s="487">
        <v>0.18786879324824315</v>
      </c>
      <c r="O50" s="487">
        <v>0.22293691100522023</v>
      </c>
      <c r="P50" s="487">
        <v>0.22205488991918979</v>
      </c>
      <c r="Q50" s="487">
        <v>0.22480739844995512</v>
      </c>
      <c r="R50" s="487">
        <v>0.22591521389415242</v>
      </c>
      <c r="S50" s="487">
        <v>0.22530345810496036</v>
      </c>
      <c r="T50" s="501">
        <v>0.22988909218593065</v>
      </c>
    </row>
    <row r="51" spans="5:20">
      <c r="E51" s="455"/>
      <c r="F51" s="510" t="s">
        <v>463</v>
      </c>
      <c r="G51" s="515"/>
      <c r="H51" s="510"/>
      <c r="I51" s="514"/>
      <c r="J51" s="487">
        <v>-0.15181396740468978</v>
      </c>
      <c r="K51" s="487">
        <v>0.14045671317988662</v>
      </c>
      <c r="L51" s="487">
        <v>1.1932969244251344</v>
      </c>
      <c r="M51" s="487">
        <v>-4.356944096664106E-2</v>
      </c>
      <c r="N51" s="487">
        <v>3.0059792883822434E-2</v>
      </c>
      <c r="O51" s="487">
        <v>0.39767050705705276</v>
      </c>
      <c r="P51" s="487">
        <v>0.1736780086228733</v>
      </c>
      <c r="Q51" s="502">
        <v>0.19347361301979515</v>
      </c>
      <c r="R51" s="487">
        <v>0.18519021769199773</v>
      </c>
      <c r="S51" s="487">
        <v>0.17669708216428015</v>
      </c>
      <c r="T51" s="501">
        <v>0.20442642184021542</v>
      </c>
    </row>
    <row r="52" spans="5:20">
      <c r="E52" s="455"/>
      <c r="F52" s="510"/>
      <c r="G52" s="515"/>
      <c r="H52" s="510"/>
      <c r="I52" s="478"/>
      <c r="J52" s="478"/>
      <c r="K52" s="478"/>
      <c r="L52" s="478"/>
      <c r="M52" s="478"/>
      <c r="N52" s="478"/>
      <c r="O52" s="478"/>
      <c r="P52" s="478"/>
      <c r="Q52" s="478"/>
      <c r="R52" s="478"/>
      <c r="S52" s="478"/>
      <c r="T52" s="522"/>
    </row>
    <row r="53" spans="5:20">
      <c r="E53" s="455"/>
      <c r="F53" s="451" t="s">
        <v>391</v>
      </c>
      <c r="G53" s="509"/>
      <c r="H53" s="510"/>
      <c r="I53" s="517">
        <v>1555161</v>
      </c>
      <c r="J53" s="517">
        <v>581664</v>
      </c>
      <c r="K53" s="517">
        <v>1831507</v>
      </c>
      <c r="L53" s="517">
        <v>3977582</v>
      </c>
      <c r="M53" s="517">
        <v>3573750</v>
      </c>
      <c r="N53" s="517">
        <v>2533846</v>
      </c>
      <c r="O53" s="517">
        <v>5441919.7986854557</v>
      </c>
      <c r="P53" s="517">
        <v>6386092.6756404825</v>
      </c>
      <c r="Q53" s="517">
        <v>7578234.1220564237</v>
      </c>
      <c r="R53" s="517">
        <v>7007931.9944153912</v>
      </c>
      <c r="S53" s="517">
        <v>11229086.418404978</v>
      </c>
      <c r="T53" s="521">
        <v>13147699.584258456</v>
      </c>
    </row>
    <row r="54" spans="5:20">
      <c r="E54" s="455"/>
      <c r="F54" s="510" t="s">
        <v>463</v>
      </c>
      <c r="G54" s="515"/>
      <c r="H54" s="510"/>
      <c r="I54" s="514"/>
      <c r="J54" s="487">
        <v>-0.62597827491815961</v>
      </c>
      <c r="K54" s="487">
        <v>2.1487370715739673</v>
      </c>
      <c r="L54" s="487">
        <v>1.1717536433112188</v>
      </c>
      <c r="M54" s="487">
        <v>-0.10152700811699167</v>
      </c>
      <c r="N54" s="487">
        <v>-0.29098398041273177</v>
      </c>
      <c r="O54" s="487">
        <v>1.1476916113629065</v>
      </c>
      <c r="P54" s="487">
        <v>0.17349996175671323</v>
      </c>
      <c r="Q54" s="487">
        <v>0.18667775539232645</v>
      </c>
      <c r="R54" s="487">
        <v>-7.5255279588310686E-2</v>
      </c>
      <c r="S54" s="487">
        <v>0.60233952432092908</v>
      </c>
      <c r="T54" s="501">
        <v>0.17086102059992925</v>
      </c>
    </row>
    <row r="55" spans="5:20">
      <c r="E55" s="455"/>
      <c r="F55" s="510"/>
      <c r="G55" s="515"/>
      <c r="H55" s="510"/>
      <c r="I55" s="514"/>
      <c r="J55" s="487"/>
      <c r="K55" s="487"/>
      <c r="L55" s="487"/>
      <c r="M55" s="487"/>
      <c r="N55" s="487"/>
      <c r="O55" s="487"/>
      <c r="P55" s="487"/>
      <c r="Q55" s="502"/>
      <c r="R55" s="487"/>
      <c r="S55" s="487"/>
      <c r="T55" s="501"/>
    </row>
    <row r="56" spans="5:20">
      <c r="E56" s="455"/>
      <c r="F56" s="510"/>
      <c r="G56" s="515"/>
      <c r="H56" s="510"/>
      <c r="I56" s="514"/>
      <c r="J56" s="487"/>
      <c r="K56" s="487"/>
      <c r="L56" s="487"/>
      <c r="M56" s="487"/>
      <c r="N56" s="487"/>
      <c r="O56" s="487"/>
      <c r="P56" s="487"/>
      <c r="Q56" s="457"/>
      <c r="R56" s="457"/>
      <c r="S56" s="457"/>
      <c r="T56" s="499"/>
    </row>
    <row r="57" spans="5:20">
      <c r="E57" s="508" t="s">
        <v>467</v>
      </c>
      <c r="F57" s="510"/>
      <c r="G57" s="516">
        <v>596.18312819813843</v>
      </c>
      <c r="H57" s="510"/>
      <c r="I57" s="514"/>
      <c r="J57" s="487"/>
      <c r="K57" s="487"/>
      <c r="L57" s="487"/>
      <c r="M57" s="487"/>
      <c r="N57" s="487"/>
      <c r="O57" s="487"/>
      <c r="P57" s="487"/>
      <c r="Q57" s="457"/>
      <c r="R57" s="457"/>
      <c r="S57" s="457"/>
      <c r="T57" s="499"/>
    </row>
    <row r="58" spans="5:20">
      <c r="E58" s="455"/>
      <c r="F58" s="510"/>
      <c r="G58" s="515"/>
      <c r="H58" s="510"/>
      <c r="I58" s="514"/>
      <c r="J58" s="487"/>
      <c r="K58" s="487"/>
      <c r="L58" s="487"/>
      <c r="M58" s="487"/>
      <c r="N58" s="487"/>
      <c r="O58" s="487"/>
      <c r="P58" s="487"/>
      <c r="Q58" s="457"/>
      <c r="R58" s="457"/>
      <c r="S58" s="457"/>
      <c r="T58" s="499"/>
    </row>
    <row r="59" spans="5:20">
      <c r="E59" s="458"/>
      <c r="F59" s="500"/>
      <c r="G59" s="459"/>
      <c r="H59" s="459"/>
      <c r="I59" s="459"/>
      <c r="J59" s="459"/>
      <c r="K59" s="459"/>
      <c r="L59" s="459"/>
      <c r="M59" s="459"/>
      <c r="N59" s="459"/>
      <c r="O59" s="459"/>
      <c r="P59" s="459"/>
      <c r="Q59" s="459"/>
      <c r="R59" s="459"/>
      <c r="S59" s="459"/>
      <c r="T59" s="460"/>
    </row>
    <row r="61" spans="5:20" ht="18.75">
      <c r="E61" s="449" t="s">
        <v>474</v>
      </c>
      <c r="F61" s="449"/>
      <c r="G61" s="449"/>
      <c r="H61" s="449"/>
      <c r="I61" s="450"/>
      <c r="J61" s="450"/>
      <c r="K61" s="450"/>
      <c r="L61" s="450"/>
      <c r="M61" s="450"/>
      <c r="N61" s="450"/>
      <c r="O61" s="450"/>
      <c r="P61" s="450"/>
      <c r="Q61" s="450"/>
      <c r="R61" s="450"/>
      <c r="S61" s="450"/>
      <c r="T61" s="450"/>
    </row>
    <row r="62" spans="5:20">
      <c r="E62" s="488"/>
      <c r="F62" s="489"/>
      <c r="G62" s="489"/>
      <c r="H62" s="489"/>
      <c r="I62" s="490"/>
      <c r="J62" s="490"/>
      <c r="K62" s="490"/>
      <c r="L62" s="491"/>
      <c r="M62" s="492"/>
      <c r="N62" s="492"/>
      <c r="O62" s="491"/>
      <c r="P62" s="491" t="s">
        <v>459</v>
      </c>
      <c r="Q62" s="490"/>
      <c r="R62" s="490"/>
      <c r="S62" s="490"/>
      <c r="T62" s="493"/>
    </row>
    <row r="63" spans="5:20">
      <c r="E63" s="503" t="s">
        <v>470</v>
      </c>
      <c r="F63" s="504"/>
      <c r="G63" s="505" t="s">
        <v>469</v>
      </c>
      <c r="H63" s="504"/>
      <c r="I63" s="481" t="s">
        <v>472</v>
      </c>
      <c r="J63" s="481" t="s">
        <v>472</v>
      </c>
      <c r="K63" s="481" t="s">
        <v>472</v>
      </c>
      <c r="L63" s="482" t="s">
        <v>472</v>
      </c>
      <c r="M63" s="482" t="s">
        <v>472</v>
      </c>
      <c r="N63" s="482" t="s">
        <v>472</v>
      </c>
      <c r="O63" s="482" t="s">
        <v>473</v>
      </c>
      <c r="P63" s="482" t="s">
        <v>473</v>
      </c>
      <c r="Q63" s="482" t="s">
        <v>473</v>
      </c>
      <c r="R63" s="482" t="s">
        <v>473</v>
      </c>
      <c r="S63" s="482" t="s">
        <v>473</v>
      </c>
      <c r="T63" s="494" t="s">
        <v>473</v>
      </c>
    </row>
    <row r="64" spans="5:20">
      <c r="E64" s="495"/>
      <c r="F64" s="506"/>
      <c r="G64" s="506"/>
      <c r="H64" s="506"/>
      <c r="I64" s="483"/>
      <c r="J64" s="483"/>
      <c r="K64" s="484"/>
      <c r="L64" s="479"/>
      <c r="M64" s="479"/>
      <c r="N64" s="479"/>
      <c r="O64" s="479"/>
      <c r="P64" s="479"/>
      <c r="Q64" s="479"/>
      <c r="R64" s="479"/>
      <c r="S64" s="479"/>
      <c r="T64" s="496"/>
    </row>
    <row r="65" spans="5:20">
      <c r="E65" s="497"/>
      <c r="F65" s="507"/>
      <c r="G65" s="507"/>
      <c r="H65" s="507"/>
      <c r="I65" s="485"/>
      <c r="J65" s="485"/>
      <c r="K65" s="486"/>
      <c r="L65" s="480"/>
      <c r="M65" s="480"/>
      <c r="N65" s="480"/>
      <c r="O65" s="480"/>
      <c r="P65" s="480"/>
      <c r="Q65" s="480"/>
      <c r="R65" s="480"/>
      <c r="S65" s="480"/>
      <c r="T65" s="498"/>
    </row>
    <row r="66" spans="5:20">
      <c r="E66" s="508" t="s">
        <v>460</v>
      </c>
      <c r="F66" s="451"/>
      <c r="G66" s="451"/>
      <c r="H66" s="451"/>
      <c r="I66" s="451"/>
      <c r="J66" s="451"/>
      <c r="K66" s="451"/>
      <c r="L66" s="451"/>
      <c r="M66" s="451"/>
      <c r="N66" s="451"/>
      <c r="O66" s="451"/>
      <c r="P66" s="451"/>
      <c r="Q66" s="451"/>
      <c r="R66" s="451"/>
      <c r="S66" s="451"/>
      <c r="T66" s="456"/>
    </row>
    <row r="67" spans="5:20">
      <c r="E67" s="508"/>
      <c r="F67" s="451"/>
      <c r="G67" s="451"/>
      <c r="H67" s="451"/>
      <c r="I67" s="451"/>
      <c r="J67" s="451"/>
      <c r="K67" s="451"/>
      <c r="L67" s="451"/>
      <c r="M67" s="451"/>
      <c r="N67" s="451"/>
      <c r="O67" s="451"/>
      <c r="P67" s="451"/>
      <c r="Q67" s="451"/>
      <c r="R67" s="451"/>
      <c r="S67" s="451"/>
      <c r="T67" s="456"/>
    </row>
    <row r="68" spans="5:20">
      <c r="E68" s="455"/>
      <c r="F68" s="451" t="s">
        <v>461</v>
      </c>
      <c r="G68" s="509"/>
      <c r="H68" s="451"/>
      <c r="I68" s="517">
        <v>10283369</v>
      </c>
      <c r="J68" s="517">
        <v>11094396</v>
      </c>
      <c r="K68" s="517">
        <v>13539233</v>
      </c>
      <c r="L68" s="517">
        <v>20603120</v>
      </c>
      <c r="M68" s="517">
        <v>19409000</v>
      </c>
      <c r="N68" s="517">
        <v>19618716</v>
      </c>
      <c r="O68" s="517">
        <v>20599651.800000001</v>
      </c>
      <c r="P68" s="517">
        <v>21629634.390000001</v>
      </c>
      <c r="Q68" s="517">
        <v>22711116.109500006</v>
      </c>
      <c r="R68" s="517">
        <v>23846671.914975002</v>
      </c>
      <c r="S68" s="517">
        <v>25039005.510723755</v>
      </c>
      <c r="T68" s="521">
        <v>26290955.786259945</v>
      </c>
    </row>
    <row r="69" spans="5:20">
      <c r="E69" s="455"/>
      <c r="F69" s="510" t="s">
        <v>463</v>
      </c>
      <c r="G69" s="511"/>
      <c r="H69" s="510"/>
      <c r="I69" s="512"/>
      <c r="J69" s="487">
        <v>7.8867830182890453E-2</v>
      </c>
      <c r="K69" s="487">
        <v>0.22036684106101845</v>
      </c>
      <c r="L69" s="487">
        <v>0.52173465069993252</v>
      </c>
      <c r="M69" s="487">
        <v>-5.7958212154275657E-2</v>
      </c>
      <c r="N69" s="487">
        <v>1.0805090421969199E-2</v>
      </c>
      <c r="O69" s="487">
        <v>5.0000000000000044E-2</v>
      </c>
      <c r="P69" s="487">
        <v>5.0000000000000044E-2</v>
      </c>
      <c r="Q69" s="487">
        <v>5.0000000000000266E-2</v>
      </c>
      <c r="R69" s="487">
        <v>4.9999999999999822E-2</v>
      </c>
      <c r="S69" s="487">
        <v>5.0000000000000044E-2</v>
      </c>
      <c r="T69" s="501">
        <v>5.0000000000000044E-2</v>
      </c>
    </row>
    <row r="70" spans="5:20">
      <c r="E70" s="455"/>
      <c r="F70" s="513"/>
      <c r="G70" s="513"/>
      <c r="H70" s="513"/>
      <c r="I70" s="478"/>
      <c r="J70" s="478"/>
      <c r="K70" s="478"/>
      <c r="L70" s="478"/>
      <c r="M70" s="478"/>
      <c r="N70" s="478"/>
      <c r="O70" s="478"/>
      <c r="P70" s="478"/>
      <c r="Q70" s="478"/>
      <c r="R70" s="478"/>
      <c r="S70" s="478"/>
      <c r="T70" s="522"/>
    </row>
    <row r="71" spans="5:20">
      <c r="E71" s="455"/>
      <c r="F71" s="451"/>
      <c r="G71" s="451"/>
      <c r="H71" s="451"/>
      <c r="I71" s="512"/>
      <c r="J71" s="512"/>
      <c r="K71" s="512"/>
      <c r="L71" s="512"/>
      <c r="M71" s="512"/>
      <c r="N71" s="512"/>
      <c r="O71" s="512"/>
      <c r="P71" s="512"/>
      <c r="Q71" s="451"/>
      <c r="R71" s="451"/>
      <c r="S71" s="451"/>
      <c r="T71" s="456"/>
    </row>
    <row r="72" spans="5:20">
      <c r="E72" s="455"/>
      <c r="F72" s="451" t="s">
        <v>170</v>
      </c>
      <c r="G72" s="509"/>
      <c r="H72" s="451"/>
      <c r="I72" s="517">
        <v>3052172</v>
      </c>
      <c r="J72" s="517">
        <v>2821013</v>
      </c>
      <c r="K72" s="517">
        <v>3451479</v>
      </c>
      <c r="L72" s="517">
        <v>6132225</v>
      </c>
      <c r="M72" s="517">
        <v>6058635</v>
      </c>
      <c r="N72" s="517">
        <v>6109886</v>
      </c>
      <c r="O72" s="517">
        <v>5994498.6738000019</v>
      </c>
      <c r="P72" s="517">
        <v>6294223.6074900012</v>
      </c>
      <c r="Q72" s="517">
        <v>6608934.7878645025</v>
      </c>
      <c r="R72" s="517">
        <v>6939381.5272577275</v>
      </c>
      <c r="S72" s="517">
        <v>7286350.603620613</v>
      </c>
      <c r="T72" s="521">
        <v>7650668.1338016456</v>
      </c>
    </row>
    <row r="73" spans="5:20">
      <c r="E73" s="455"/>
      <c r="F73" s="510" t="s">
        <v>465</v>
      </c>
      <c r="G73" s="511"/>
      <c r="H73" s="510"/>
      <c r="I73" s="487">
        <v>0.29680662047622719</v>
      </c>
      <c r="J73" s="487">
        <v>0.2542736891670353</v>
      </c>
      <c r="K73" s="487">
        <v>0.2549242634350114</v>
      </c>
      <c r="L73" s="487">
        <v>0.29763574643063767</v>
      </c>
      <c r="M73" s="487">
        <v>0.31215595857591838</v>
      </c>
      <c r="N73" s="487">
        <v>0.31143149225464095</v>
      </c>
      <c r="O73" s="487">
        <v>0.29100000000000009</v>
      </c>
      <c r="P73" s="487">
        <v>0.29100000000000004</v>
      </c>
      <c r="Q73" s="487">
        <v>0.29100000000000004</v>
      </c>
      <c r="R73" s="487">
        <v>0.29100000000000009</v>
      </c>
      <c r="S73" s="487">
        <v>0.29100000000000004</v>
      </c>
      <c r="T73" s="501">
        <v>0.29100000000000004</v>
      </c>
    </row>
    <row r="74" spans="5:20">
      <c r="E74" s="455"/>
      <c r="F74" s="510" t="s">
        <v>463</v>
      </c>
      <c r="G74" s="511"/>
      <c r="H74" s="510"/>
      <c r="I74" s="514"/>
      <c r="J74" s="487">
        <v>-7.5735902170650959E-2</v>
      </c>
      <c r="K74" s="487">
        <v>0.22348922177955233</v>
      </c>
      <c r="L74" s="487">
        <v>0.776694860377247</v>
      </c>
      <c r="M74" s="487">
        <v>-1.2000538140723771E-2</v>
      </c>
      <c r="N74" s="487">
        <v>8.4591661323054623E-3</v>
      </c>
      <c r="O74" s="487">
        <v>-1.8885348466403107E-2</v>
      </c>
      <c r="P74" s="487">
        <v>4.9999999999999822E-2</v>
      </c>
      <c r="Q74" s="502">
        <v>5.0000000000000266E-2</v>
      </c>
      <c r="R74" s="487">
        <v>5.0000000000000044E-2</v>
      </c>
      <c r="S74" s="487">
        <v>4.9999999999999822E-2</v>
      </c>
      <c r="T74" s="501">
        <v>5.0000000000000266E-2</v>
      </c>
    </row>
    <row r="75" spans="5:20">
      <c r="E75" s="455"/>
      <c r="F75" s="513"/>
      <c r="G75" s="513"/>
      <c r="H75" s="513"/>
      <c r="I75" s="478"/>
      <c r="J75" s="478"/>
      <c r="K75" s="478"/>
      <c r="L75" s="478"/>
      <c r="M75" s="478"/>
      <c r="N75" s="478"/>
      <c r="O75" s="478"/>
      <c r="P75" s="478"/>
      <c r="Q75" s="478"/>
      <c r="R75" s="478"/>
      <c r="S75" s="478"/>
      <c r="T75" s="522"/>
    </row>
    <row r="76" spans="5:20">
      <c r="E76" s="455"/>
      <c r="F76" s="451"/>
      <c r="G76" s="451"/>
      <c r="H76" s="451"/>
      <c r="I76" s="512"/>
      <c r="J76" s="512"/>
      <c r="K76" s="512"/>
      <c r="L76" s="512"/>
      <c r="M76" s="512"/>
      <c r="N76" s="512"/>
      <c r="O76" s="512"/>
      <c r="P76" s="512"/>
      <c r="Q76" s="451"/>
      <c r="R76" s="451"/>
      <c r="S76" s="451"/>
      <c r="T76" s="456"/>
    </row>
    <row r="77" spans="5:20">
      <c r="E77" s="455"/>
      <c r="F77" s="451" t="s">
        <v>466</v>
      </c>
      <c r="G77" s="509"/>
      <c r="H77" s="451"/>
      <c r="I77" s="517">
        <v>1763364.1</v>
      </c>
      <c r="J77" s="517">
        <v>1495660.8</v>
      </c>
      <c r="K77" s="517">
        <v>1705736.4</v>
      </c>
      <c r="L77" s="517">
        <v>3741186.4000000004</v>
      </c>
      <c r="M77" s="517">
        <v>3578185</v>
      </c>
      <c r="N77" s="517">
        <v>3685744.5</v>
      </c>
      <c r="O77" s="517">
        <v>3541267.2764712451</v>
      </c>
      <c r="P77" s="517">
        <v>3621037.9787603626</v>
      </c>
      <c r="Q77" s="517">
        <v>3800650.3573861597</v>
      </c>
      <c r="R77" s="517">
        <v>3937775.7094988008</v>
      </c>
      <c r="S77" s="517">
        <v>4000485.3847726295</v>
      </c>
      <c r="T77" s="521">
        <v>4312147.2104768176</v>
      </c>
    </row>
    <row r="78" spans="5:20">
      <c r="E78" s="455"/>
      <c r="F78" s="510" t="s">
        <v>465</v>
      </c>
      <c r="G78" s="515"/>
      <c r="H78" s="510"/>
      <c r="I78" s="487">
        <v>0.17147727558935211</v>
      </c>
      <c r="J78" s="487">
        <v>0.13481227819883121</v>
      </c>
      <c r="K78" s="487">
        <v>0.12598471420057547</v>
      </c>
      <c r="L78" s="487">
        <v>0.18158348832603996</v>
      </c>
      <c r="M78" s="487">
        <v>0.18435699933020763</v>
      </c>
      <c r="N78" s="487">
        <v>0.18786879324824315</v>
      </c>
      <c r="O78" s="487">
        <v>0.17190908423370754</v>
      </c>
      <c r="P78" s="487">
        <v>0.16741096559794244</v>
      </c>
      <c r="Q78" s="487">
        <v>0.16734758164511152</v>
      </c>
      <c r="R78" s="487">
        <v>0.16512894224984051</v>
      </c>
      <c r="S78" s="487">
        <v>0.15977013875648111</v>
      </c>
      <c r="T78" s="501">
        <v>0.16401637298901137</v>
      </c>
    </row>
    <row r="79" spans="5:20">
      <c r="E79" s="455"/>
      <c r="F79" s="510" t="s">
        <v>463</v>
      </c>
      <c r="G79" s="515"/>
      <c r="H79" s="510"/>
      <c r="I79" s="514"/>
      <c r="J79" s="487">
        <v>-0.15181396740468978</v>
      </c>
      <c r="K79" s="487">
        <v>0.14045671317988662</v>
      </c>
      <c r="L79" s="487">
        <v>1.1932969244251344</v>
      </c>
      <c r="M79" s="487">
        <v>-4.356944096664106E-2</v>
      </c>
      <c r="N79" s="487">
        <v>3.0059792883822434E-2</v>
      </c>
      <c r="O79" s="487">
        <v>-3.9198925353820635E-2</v>
      </c>
      <c r="P79" s="487">
        <v>2.252603264913855E-2</v>
      </c>
      <c r="Q79" s="502">
        <v>4.9602456444625798E-2</v>
      </c>
      <c r="R79" s="487">
        <v>3.6079444099916369E-2</v>
      </c>
      <c r="S79" s="487">
        <v>1.5925151633842116E-2</v>
      </c>
      <c r="T79" s="501">
        <v>7.7906002829179588E-2</v>
      </c>
    </row>
    <row r="80" spans="5:20">
      <c r="E80" s="455"/>
      <c r="F80" s="510"/>
      <c r="G80" s="515"/>
      <c r="H80" s="510"/>
      <c r="I80" s="478"/>
      <c r="J80" s="478"/>
      <c r="K80" s="478"/>
      <c r="L80" s="478"/>
      <c r="M80" s="478"/>
      <c r="N80" s="478"/>
      <c r="O80" s="478"/>
      <c r="P80" s="478"/>
      <c r="Q80" s="478"/>
      <c r="R80" s="478"/>
      <c r="S80" s="478"/>
      <c r="T80" s="522"/>
    </row>
    <row r="81" spans="5:20">
      <c r="E81" s="455"/>
      <c r="F81" s="451" t="s">
        <v>391</v>
      </c>
      <c r="G81" s="509"/>
      <c r="H81" s="510"/>
      <c r="I81" s="517">
        <v>1555161</v>
      </c>
      <c r="J81" s="517">
        <v>581664</v>
      </c>
      <c r="K81" s="517">
        <v>1831507</v>
      </c>
      <c r="L81" s="517">
        <v>3977582</v>
      </c>
      <c r="M81" s="517">
        <v>3573750</v>
      </c>
      <c r="N81" s="517">
        <v>2533846</v>
      </c>
      <c r="O81" s="517">
        <v>4190310.1190426499</v>
      </c>
      <c r="P81" s="517">
        <v>4146368.8821121324</v>
      </c>
      <c r="Q81" s="517">
        <v>4379316.854051074</v>
      </c>
      <c r="R81" s="517">
        <v>2646419.9412536286</v>
      </c>
      <c r="S81" s="517">
        <v>5462419.849482974</v>
      </c>
      <c r="T81" s="521">
        <v>5686719.7531237919</v>
      </c>
    </row>
    <row r="82" spans="5:20">
      <c r="E82" s="455"/>
      <c r="F82" s="510" t="s">
        <v>463</v>
      </c>
      <c r="G82" s="515"/>
      <c r="H82" s="510"/>
      <c r="I82" s="514"/>
      <c r="J82" s="487">
        <v>-0.62597827491815961</v>
      </c>
      <c r="K82" s="487">
        <v>2.1487370715739673</v>
      </c>
      <c r="L82" s="487">
        <v>1.1717536433112188</v>
      </c>
      <c r="M82" s="487">
        <v>-0.10152700811699167</v>
      </c>
      <c r="N82" s="487">
        <v>-0.29098398041273177</v>
      </c>
      <c r="O82" s="487">
        <v>0.65373512006753765</v>
      </c>
      <c r="P82" s="487">
        <v>-1.0486392577682691E-2</v>
      </c>
      <c r="Q82" s="487">
        <v>5.6181198191001203E-2</v>
      </c>
      <c r="R82" s="487">
        <v>-0.39570028169905869</v>
      </c>
      <c r="S82" s="487">
        <v>1.0640790089026404</v>
      </c>
      <c r="T82" s="501">
        <v>4.1062369759447881E-2</v>
      </c>
    </row>
    <row r="83" spans="5:20">
      <c r="E83" s="455"/>
      <c r="F83" s="510"/>
      <c r="G83" s="515"/>
      <c r="H83" s="510"/>
      <c r="I83" s="514"/>
      <c r="J83" s="487"/>
      <c r="K83" s="487"/>
      <c r="L83" s="487"/>
      <c r="M83" s="487"/>
      <c r="N83" s="487"/>
      <c r="O83" s="487"/>
      <c r="P83" s="487"/>
      <c r="Q83" s="502"/>
      <c r="R83" s="487"/>
      <c r="S83" s="487"/>
      <c r="T83" s="501"/>
    </row>
    <row r="84" spans="5:20">
      <c r="E84" s="455"/>
      <c r="F84" s="510"/>
      <c r="G84" s="515"/>
      <c r="H84" s="510"/>
      <c r="I84" s="514"/>
      <c r="J84" s="487"/>
      <c r="K84" s="487"/>
      <c r="L84" s="487"/>
      <c r="M84" s="487"/>
      <c r="N84" s="487"/>
      <c r="O84" s="487"/>
      <c r="P84" s="487"/>
      <c r="Q84" s="457"/>
      <c r="R84" s="457"/>
      <c r="S84" s="457"/>
      <c r="T84" s="499"/>
    </row>
    <row r="85" spans="5:20">
      <c r="E85" s="508" t="s">
        <v>467</v>
      </c>
      <c r="F85" s="510"/>
      <c r="G85" s="516">
        <v>273.35404695782938</v>
      </c>
      <c r="H85" s="510"/>
      <c r="I85" s="514"/>
      <c r="J85" s="487"/>
      <c r="K85" s="487"/>
      <c r="L85" s="487"/>
      <c r="M85" s="487"/>
      <c r="N85" s="487"/>
      <c r="O85" s="487"/>
      <c r="P85" s="487"/>
      <c r="Q85" s="457"/>
      <c r="R85" s="457"/>
      <c r="S85" s="457"/>
      <c r="T85" s="499"/>
    </row>
    <row r="86" spans="5:20">
      <c r="E86" s="455"/>
      <c r="F86" s="510"/>
      <c r="G86" s="515"/>
      <c r="H86" s="510"/>
      <c r="I86" s="514"/>
      <c r="J86" s="487"/>
      <c r="K86" s="487"/>
      <c r="L86" s="487"/>
      <c r="M86" s="487"/>
      <c r="N86" s="487"/>
      <c r="O86" s="487"/>
      <c r="P86" s="487"/>
      <c r="Q86" s="457"/>
      <c r="R86" s="457"/>
      <c r="S86" s="457"/>
      <c r="T86" s="499"/>
    </row>
    <row r="87" spans="5:20">
      <c r="E87" s="458"/>
      <c r="F87" s="500"/>
      <c r="G87" s="459"/>
      <c r="H87" s="459"/>
      <c r="I87" s="459"/>
      <c r="J87" s="459"/>
      <c r="K87" s="459"/>
      <c r="L87" s="459"/>
      <c r="M87" s="459"/>
      <c r="N87" s="459"/>
      <c r="O87" s="459"/>
      <c r="P87" s="459"/>
      <c r="Q87" s="459"/>
      <c r="R87" s="459"/>
      <c r="S87" s="459"/>
      <c r="T87" s="460"/>
    </row>
  </sheetData>
  <mergeCells count="1">
    <mergeCell ref="E2:T2"/>
  </mergeCells>
  <printOptions horizontalCentered="1"/>
  <pageMargins left="0.70866141732283472" right="0.70866141732283472" top="0.74803149606299213" bottom="0.74803149606299213" header="0.31496062992125984" footer="0.31496062992125984"/>
  <pageSetup paperSize="9" scale="44" fitToWidth="0" orientation="landscape" r:id="rId1"/>
  <extLst>
    <ext xmlns:x14="http://schemas.microsoft.com/office/spreadsheetml/2009/9/main" uri="{05C60535-1F16-4fd2-B633-F4F36F0B64E0}">
      <x14:sparklineGroups xmlns:xm="http://schemas.microsoft.com/office/excel/2006/main">
        <x14:sparklineGroup displayEmptyCellsAs="gap" first="1" last="1" xr2:uid="{A9857D52-4966-4370-A41A-AA5D4FA6F641}">
          <x14:colorSeries rgb="FF00B050"/>
          <x14:colorNegative rgb="FFD00000"/>
          <x14:colorAxis rgb="FF000000"/>
          <x14:colorMarkers rgb="FFD00000"/>
          <x14:colorFirst rgb="FF0070C0"/>
          <x14:colorLast rgb="FF0070C0"/>
          <x14:colorHigh rgb="FFD00000"/>
          <x14:colorLow rgb="FFD00000"/>
          <x14:sparklines>
            <x14:sparkline>
              <xm:f>Summary!J82:T82</xm:f>
              <xm:sqref>G81</xm:sqref>
            </x14:sparkline>
          </x14:sparklines>
        </x14:sparklineGroup>
        <x14:sparklineGroup lineWeight="1" displayEmptyCellsAs="gap" high="1" low="1" xr2:uid="{FD45A514-FA7E-4CCC-9F16-A9A8D70F71B0}">
          <x14:colorSeries rgb="FF009966"/>
          <x14:colorNegative rgb="FFD00000"/>
          <x14:colorAxis rgb="FF000000"/>
          <x14:colorMarkers rgb="FFD00000"/>
          <x14:colorFirst rgb="FFD00000"/>
          <x14:colorLast rgb="FFD00000"/>
          <x14:colorHigh rgb="FF5B77CC"/>
          <x14:colorLow rgb="FF5B77CC"/>
          <x14:sparklines>
            <x14:sparkline>
              <xm:f>Summary!I72:P72</xm:f>
              <xm:sqref>G72</xm:sqref>
            </x14:sparkline>
          </x14:sparklines>
        </x14:sparklineGroup>
        <x14:sparklineGroup lineWeight="1" displayEmptyCellsAs="gap" high="1" low="1" xr2:uid="{DF4173F3-D787-44E5-A766-75A88A36335B}">
          <x14:colorSeries rgb="FF009966"/>
          <x14:colorNegative rgb="FFD00000"/>
          <x14:colorAxis rgb="FF000000"/>
          <x14:colorMarkers rgb="FFD00000"/>
          <x14:colorFirst rgb="FFD00000"/>
          <x14:colorLast rgb="FFD00000"/>
          <x14:colorHigh rgb="FF5B77CC"/>
          <x14:colorLow rgb="FF5B77CC"/>
          <x14:sparklines>
            <x14:sparkline>
              <xm:f>Summary!I68:P68</xm:f>
              <xm:sqref>G68</xm:sqref>
            </x14:sparkline>
          </x14:sparklines>
        </x14:sparklineGroup>
        <x14:sparklineGroup lineWeight="1" displayEmptyCellsAs="gap" high="1" low="1" xr2:uid="{F6C63F7F-3F30-4E34-A4D3-309D0B130436}">
          <x14:colorSeries rgb="FF009966"/>
          <x14:colorNegative rgb="FFD00000"/>
          <x14:colorAxis rgb="FF000000"/>
          <x14:colorMarkers rgb="FFD00000"/>
          <x14:colorFirst rgb="FFD00000"/>
          <x14:colorLast rgb="FFD00000"/>
          <x14:colorHigh rgb="FF5B77CC"/>
          <x14:colorLow rgb="FF5B77CC"/>
          <x14:sparklines>
            <x14:sparkline>
              <xm:f>Summary!I77:P77</xm:f>
              <xm:sqref>G77</xm:sqref>
            </x14:sparkline>
          </x14:sparklines>
        </x14:sparklineGroup>
        <x14:sparklineGroup lineWeight="1" displayEmptyCellsAs="gap" high="1" low="1" xr2:uid="{B2EDEB3B-31C9-4907-83E3-97FCB251F837}">
          <x14:colorSeries rgb="FF009966"/>
          <x14:colorNegative rgb="FFD00000"/>
          <x14:colorAxis rgb="FF000000"/>
          <x14:colorMarkers rgb="FFD00000"/>
          <x14:colorFirst rgb="FFD00000"/>
          <x14:colorLast rgb="FFD00000"/>
          <x14:colorHigh rgb="FF5B77CC"/>
          <x14:colorLow rgb="FF5B77CC"/>
          <x14:sparklines>
            <x14:sparkline>
              <xm:f>Summary!I49:P49</xm:f>
              <xm:sqref>G49</xm:sqref>
            </x14:sparkline>
          </x14:sparklines>
        </x14:sparklineGroup>
        <x14:sparklineGroup lineWeight="1" displayEmptyCellsAs="gap" high="1" low="1" xr2:uid="{7D4C1EBB-98F9-4156-B1CD-E9224B528969}">
          <x14:colorSeries rgb="FF009966"/>
          <x14:colorNegative rgb="FFD00000"/>
          <x14:colorAxis rgb="FF000000"/>
          <x14:colorMarkers rgb="FFD00000"/>
          <x14:colorFirst rgb="FFD00000"/>
          <x14:colorLast rgb="FFD00000"/>
          <x14:colorHigh rgb="FF5B77CC"/>
          <x14:colorLow rgb="FF5B77CC"/>
          <x14:sparklines>
            <x14:sparkline>
              <xm:f>Summary!I40:P40</xm:f>
              <xm:sqref>G40</xm:sqref>
            </x14:sparkline>
          </x14:sparklines>
        </x14:sparklineGroup>
        <x14:sparklineGroup lineWeight="1" displayEmptyCellsAs="gap" high="1" low="1" xr2:uid="{279F2FB2-921D-4306-8618-6E72FB579EAB}">
          <x14:colorSeries rgb="FF009966"/>
          <x14:colorNegative rgb="FFD00000"/>
          <x14:colorAxis rgb="FF000000"/>
          <x14:colorMarkers rgb="FFD00000"/>
          <x14:colorFirst rgb="FFD00000"/>
          <x14:colorLast rgb="FFD00000"/>
          <x14:colorHigh rgb="FF5B77CC"/>
          <x14:colorLow rgb="FF5B77CC"/>
          <x14:sparklines>
            <x14:sparkline>
              <xm:f>Summary!I44:P44</xm:f>
              <xm:sqref>G44</xm:sqref>
            </x14:sparkline>
          </x14:sparklines>
        </x14:sparklineGroup>
        <x14:sparklineGroup displayEmptyCellsAs="gap" first="1" last="1" xr2:uid="{2C50CB68-331E-4AAC-8948-B0A29A205428}">
          <x14:colorSeries rgb="FF00B050"/>
          <x14:colorNegative rgb="FFD00000"/>
          <x14:colorAxis rgb="FF000000"/>
          <x14:colorMarkers rgb="FFD00000"/>
          <x14:colorFirst rgb="FF0070C0"/>
          <x14:colorLast rgb="FF0070C0"/>
          <x14:colorHigh rgb="FFD00000"/>
          <x14:colorLow rgb="FFD00000"/>
          <x14:sparklines>
            <x14:sparkline>
              <xm:f>Summary!J54:T54</xm:f>
              <xm:sqref>G53</xm:sqref>
            </x14:sparkline>
          </x14:sparklines>
        </x14:sparklineGroup>
        <x14:sparklineGroup displayEmptyCellsAs="gap" first="1" last="1" xr2:uid="{F4BEAC91-ADA3-4105-A147-70357F530544}">
          <x14:colorSeries rgb="FF00B050"/>
          <x14:colorNegative rgb="FFD00000"/>
          <x14:colorAxis rgb="FF000000"/>
          <x14:colorMarkers rgb="FFD00000"/>
          <x14:colorFirst rgb="FF0070C0"/>
          <x14:colorLast rgb="FF0070C0"/>
          <x14:colorHigh rgb="FFD00000"/>
          <x14:colorLow rgb="FFD00000"/>
          <x14:sparklines>
            <x14:sparkline>
              <xm:f>Summary!J26:T26</xm:f>
              <xm:sqref>G25</xm:sqref>
            </x14:sparkline>
          </x14:sparklines>
        </x14:sparklineGroup>
        <x14:sparklineGroup lineWeight="1" displayEmptyCellsAs="gap" high="1" low="1" xr2:uid="{7F8D7EEC-67FE-466D-9DE5-6C7908B38C38}">
          <x14:colorSeries rgb="FF009966"/>
          <x14:colorNegative rgb="FFD00000"/>
          <x14:colorAxis rgb="FF000000"/>
          <x14:colorMarkers rgb="FFD00000"/>
          <x14:colorFirst rgb="FFD00000"/>
          <x14:colorLast rgb="FFD00000"/>
          <x14:colorHigh rgb="FF5B77CC"/>
          <x14:colorLow rgb="FF5B77CC"/>
          <x14:sparklines>
            <x14:sparkline>
              <xm:f>Summary!I16:P16</xm:f>
              <xm:sqref>G16</xm:sqref>
            </x14:sparkline>
          </x14:sparklines>
        </x14:sparklineGroup>
        <x14:sparklineGroup lineWeight="1" displayEmptyCellsAs="gap" high="1" low="1" xr2:uid="{E80B3F5C-C9D5-433B-A9DC-A2C146DBD73E}">
          <x14:colorSeries rgb="FF009966"/>
          <x14:colorNegative rgb="FFD00000"/>
          <x14:colorAxis rgb="FF000000"/>
          <x14:colorMarkers rgb="FFD00000"/>
          <x14:colorFirst rgb="FFD00000"/>
          <x14:colorLast rgb="FFD00000"/>
          <x14:colorHigh rgb="FF5B77CC"/>
          <x14:colorLow rgb="FF5B77CC"/>
          <x14:sparklines>
            <x14:sparkline>
              <xm:f>Summary!I12:P12</xm:f>
              <xm:sqref>G12</xm:sqref>
            </x14:sparkline>
          </x14:sparklines>
        </x14:sparklineGroup>
        <x14:sparklineGroup lineWeight="1" displayEmptyCellsAs="gap" high="1" low="1" xr2:uid="{4E2A1575-BC73-4D25-B773-50FF2A28E34E}">
          <x14:colorSeries rgb="FF009966"/>
          <x14:colorNegative rgb="FFD00000"/>
          <x14:colorAxis rgb="FF000000"/>
          <x14:colorMarkers rgb="FFD00000"/>
          <x14:colorFirst rgb="FFD00000"/>
          <x14:colorLast rgb="FFD00000"/>
          <x14:colorHigh rgb="FF5B77CC"/>
          <x14:colorLow rgb="FF5B77CC"/>
          <x14:sparklines>
            <x14:sparkline>
              <xm:f>Summary!I21:P21</xm:f>
              <xm:sqref>G21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3" tint="0.39997558519241921"/>
  </sheetPr>
  <dimension ref="A1:BX34"/>
  <sheetViews>
    <sheetView topLeftCell="A8" zoomScale="90" zoomScaleNormal="90" workbookViewId="0">
      <selection activeCell="P18" sqref="P18"/>
    </sheetView>
  </sheetViews>
  <sheetFormatPr defaultRowHeight="12.75"/>
  <cols>
    <col min="1" max="1" width="1.28515625" style="294" customWidth="1"/>
    <col min="2" max="2" width="1.28515625" style="295" customWidth="1"/>
    <col min="3" max="3" width="1.28515625" style="296" customWidth="1"/>
    <col min="4" max="4" width="1.28515625" style="297" customWidth="1"/>
    <col min="5" max="5" width="13.5703125" style="298" bestFit="1" customWidth="1"/>
    <col min="6" max="6" width="28" style="298" bestFit="1" customWidth="1"/>
    <col min="7" max="9" width="15.140625" style="298" customWidth="1"/>
    <col min="10" max="11" width="15.140625" style="265" customWidth="1"/>
    <col min="12" max="76" width="11.7109375" style="265" customWidth="1"/>
    <col min="77" max="255" width="9.140625" style="265"/>
    <col min="256" max="259" width="1.28515625" style="265" customWidth="1"/>
    <col min="260" max="260" width="13.5703125" style="265" bestFit="1" customWidth="1"/>
    <col min="261" max="261" width="28" style="265" bestFit="1" customWidth="1"/>
    <col min="262" max="266" width="15.140625" style="265" customWidth="1"/>
    <col min="267" max="332" width="11.7109375" style="265" customWidth="1"/>
    <col min="333" max="511" width="9.140625" style="265"/>
    <col min="512" max="515" width="1.28515625" style="265" customWidth="1"/>
    <col min="516" max="516" width="13.5703125" style="265" bestFit="1" customWidth="1"/>
    <col min="517" max="517" width="28" style="265" bestFit="1" customWidth="1"/>
    <col min="518" max="522" width="15.140625" style="265" customWidth="1"/>
    <col min="523" max="588" width="11.7109375" style="265" customWidth="1"/>
    <col min="589" max="767" width="9.140625" style="265"/>
    <col min="768" max="771" width="1.28515625" style="265" customWidth="1"/>
    <col min="772" max="772" width="13.5703125" style="265" bestFit="1" customWidth="1"/>
    <col min="773" max="773" width="28" style="265" bestFit="1" customWidth="1"/>
    <col min="774" max="778" width="15.140625" style="265" customWidth="1"/>
    <col min="779" max="844" width="11.7109375" style="265" customWidth="1"/>
    <col min="845" max="1023" width="9.140625" style="265"/>
    <col min="1024" max="1027" width="1.28515625" style="265" customWidth="1"/>
    <col min="1028" max="1028" width="13.5703125" style="265" bestFit="1" customWidth="1"/>
    <col min="1029" max="1029" width="28" style="265" bestFit="1" customWidth="1"/>
    <col min="1030" max="1034" width="15.140625" style="265" customWidth="1"/>
    <col min="1035" max="1100" width="11.7109375" style="265" customWidth="1"/>
    <col min="1101" max="1279" width="9.140625" style="265"/>
    <col min="1280" max="1283" width="1.28515625" style="265" customWidth="1"/>
    <col min="1284" max="1284" width="13.5703125" style="265" bestFit="1" customWidth="1"/>
    <col min="1285" max="1285" width="28" style="265" bestFit="1" customWidth="1"/>
    <col min="1286" max="1290" width="15.140625" style="265" customWidth="1"/>
    <col min="1291" max="1356" width="11.7109375" style="265" customWidth="1"/>
    <col min="1357" max="1535" width="9.140625" style="265"/>
    <col min="1536" max="1539" width="1.28515625" style="265" customWidth="1"/>
    <col min="1540" max="1540" width="13.5703125" style="265" bestFit="1" customWidth="1"/>
    <col min="1541" max="1541" width="28" style="265" bestFit="1" customWidth="1"/>
    <col min="1542" max="1546" width="15.140625" style="265" customWidth="1"/>
    <col min="1547" max="1612" width="11.7109375" style="265" customWidth="1"/>
    <col min="1613" max="1791" width="9.140625" style="265"/>
    <col min="1792" max="1795" width="1.28515625" style="265" customWidth="1"/>
    <col min="1796" max="1796" width="13.5703125" style="265" bestFit="1" customWidth="1"/>
    <col min="1797" max="1797" width="28" style="265" bestFit="1" customWidth="1"/>
    <col min="1798" max="1802" width="15.140625" style="265" customWidth="1"/>
    <col min="1803" max="1868" width="11.7109375" style="265" customWidth="1"/>
    <col min="1869" max="2047" width="9.140625" style="265"/>
    <col min="2048" max="2051" width="1.28515625" style="265" customWidth="1"/>
    <col min="2052" max="2052" width="13.5703125" style="265" bestFit="1" customWidth="1"/>
    <col min="2053" max="2053" width="28" style="265" bestFit="1" customWidth="1"/>
    <col min="2054" max="2058" width="15.140625" style="265" customWidth="1"/>
    <col min="2059" max="2124" width="11.7109375" style="265" customWidth="1"/>
    <col min="2125" max="2303" width="9.140625" style="265"/>
    <col min="2304" max="2307" width="1.28515625" style="265" customWidth="1"/>
    <col min="2308" max="2308" width="13.5703125" style="265" bestFit="1" customWidth="1"/>
    <col min="2309" max="2309" width="28" style="265" bestFit="1" customWidth="1"/>
    <col min="2310" max="2314" width="15.140625" style="265" customWidth="1"/>
    <col min="2315" max="2380" width="11.7109375" style="265" customWidth="1"/>
    <col min="2381" max="2559" width="9.140625" style="265"/>
    <col min="2560" max="2563" width="1.28515625" style="265" customWidth="1"/>
    <col min="2564" max="2564" width="13.5703125" style="265" bestFit="1" customWidth="1"/>
    <col min="2565" max="2565" width="28" style="265" bestFit="1" customWidth="1"/>
    <col min="2566" max="2570" width="15.140625" style="265" customWidth="1"/>
    <col min="2571" max="2636" width="11.7109375" style="265" customWidth="1"/>
    <col min="2637" max="2815" width="9.140625" style="265"/>
    <col min="2816" max="2819" width="1.28515625" style="265" customWidth="1"/>
    <col min="2820" max="2820" width="13.5703125" style="265" bestFit="1" customWidth="1"/>
    <col min="2821" max="2821" width="28" style="265" bestFit="1" customWidth="1"/>
    <col min="2822" max="2826" width="15.140625" style="265" customWidth="1"/>
    <col min="2827" max="2892" width="11.7109375" style="265" customWidth="1"/>
    <col min="2893" max="3071" width="9.140625" style="265"/>
    <col min="3072" max="3075" width="1.28515625" style="265" customWidth="1"/>
    <col min="3076" max="3076" width="13.5703125" style="265" bestFit="1" customWidth="1"/>
    <col min="3077" max="3077" width="28" style="265" bestFit="1" customWidth="1"/>
    <col min="3078" max="3082" width="15.140625" style="265" customWidth="1"/>
    <col min="3083" max="3148" width="11.7109375" style="265" customWidth="1"/>
    <col min="3149" max="3327" width="9.140625" style="265"/>
    <col min="3328" max="3331" width="1.28515625" style="265" customWidth="1"/>
    <col min="3332" max="3332" width="13.5703125" style="265" bestFit="1" customWidth="1"/>
    <col min="3333" max="3333" width="28" style="265" bestFit="1" customWidth="1"/>
    <col min="3334" max="3338" width="15.140625" style="265" customWidth="1"/>
    <col min="3339" max="3404" width="11.7109375" style="265" customWidth="1"/>
    <col min="3405" max="3583" width="9.140625" style="265"/>
    <col min="3584" max="3587" width="1.28515625" style="265" customWidth="1"/>
    <col min="3588" max="3588" width="13.5703125" style="265" bestFit="1" customWidth="1"/>
    <col min="3589" max="3589" width="28" style="265" bestFit="1" customWidth="1"/>
    <col min="3590" max="3594" width="15.140625" style="265" customWidth="1"/>
    <col min="3595" max="3660" width="11.7109375" style="265" customWidth="1"/>
    <col min="3661" max="3839" width="9.140625" style="265"/>
    <col min="3840" max="3843" width="1.28515625" style="265" customWidth="1"/>
    <col min="3844" max="3844" width="13.5703125" style="265" bestFit="1" customWidth="1"/>
    <col min="3845" max="3845" width="28" style="265" bestFit="1" customWidth="1"/>
    <col min="3846" max="3850" width="15.140625" style="265" customWidth="1"/>
    <col min="3851" max="3916" width="11.7109375" style="265" customWidth="1"/>
    <col min="3917" max="4095" width="9.140625" style="265"/>
    <col min="4096" max="4099" width="1.28515625" style="265" customWidth="1"/>
    <col min="4100" max="4100" width="13.5703125" style="265" bestFit="1" customWidth="1"/>
    <col min="4101" max="4101" width="28" style="265" bestFit="1" customWidth="1"/>
    <col min="4102" max="4106" width="15.140625" style="265" customWidth="1"/>
    <col min="4107" max="4172" width="11.7109375" style="265" customWidth="1"/>
    <col min="4173" max="4351" width="9.140625" style="265"/>
    <col min="4352" max="4355" width="1.28515625" style="265" customWidth="1"/>
    <col min="4356" max="4356" width="13.5703125" style="265" bestFit="1" customWidth="1"/>
    <col min="4357" max="4357" width="28" style="265" bestFit="1" customWidth="1"/>
    <col min="4358" max="4362" width="15.140625" style="265" customWidth="1"/>
    <col min="4363" max="4428" width="11.7109375" style="265" customWidth="1"/>
    <col min="4429" max="4607" width="9.140625" style="265"/>
    <col min="4608" max="4611" width="1.28515625" style="265" customWidth="1"/>
    <col min="4612" max="4612" width="13.5703125" style="265" bestFit="1" customWidth="1"/>
    <col min="4613" max="4613" width="28" style="265" bestFit="1" customWidth="1"/>
    <col min="4614" max="4618" width="15.140625" style="265" customWidth="1"/>
    <col min="4619" max="4684" width="11.7109375" style="265" customWidth="1"/>
    <col min="4685" max="4863" width="9.140625" style="265"/>
    <col min="4864" max="4867" width="1.28515625" style="265" customWidth="1"/>
    <col min="4868" max="4868" width="13.5703125" style="265" bestFit="1" customWidth="1"/>
    <col min="4869" max="4869" width="28" style="265" bestFit="1" customWidth="1"/>
    <col min="4870" max="4874" width="15.140625" style="265" customWidth="1"/>
    <col min="4875" max="4940" width="11.7109375" style="265" customWidth="1"/>
    <col min="4941" max="5119" width="9.140625" style="265"/>
    <col min="5120" max="5123" width="1.28515625" style="265" customWidth="1"/>
    <col min="5124" max="5124" width="13.5703125" style="265" bestFit="1" customWidth="1"/>
    <col min="5125" max="5125" width="28" style="265" bestFit="1" customWidth="1"/>
    <col min="5126" max="5130" width="15.140625" style="265" customWidth="1"/>
    <col min="5131" max="5196" width="11.7109375" style="265" customWidth="1"/>
    <col min="5197" max="5375" width="9.140625" style="265"/>
    <col min="5376" max="5379" width="1.28515625" style="265" customWidth="1"/>
    <col min="5380" max="5380" width="13.5703125" style="265" bestFit="1" customWidth="1"/>
    <col min="5381" max="5381" width="28" style="265" bestFit="1" customWidth="1"/>
    <col min="5382" max="5386" width="15.140625" style="265" customWidth="1"/>
    <col min="5387" max="5452" width="11.7109375" style="265" customWidth="1"/>
    <col min="5453" max="5631" width="9.140625" style="265"/>
    <col min="5632" max="5635" width="1.28515625" style="265" customWidth="1"/>
    <col min="5636" max="5636" width="13.5703125" style="265" bestFit="1" customWidth="1"/>
    <col min="5637" max="5637" width="28" style="265" bestFit="1" customWidth="1"/>
    <col min="5638" max="5642" width="15.140625" style="265" customWidth="1"/>
    <col min="5643" max="5708" width="11.7109375" style="265" customWidth="1"/>
    <col min="5709" max="5887" width="9.140625" style="265"/>
    <col min="5888" max="5891" width="1.28515625" style="265" customWidth="1"/>
    <col min="5892" max="5892" width="13.5703125" style="265" bestFit="1" customWidth="1"/>
    <col min="5893" max="5893" width="28" style="265" bestFit="1" customWidth="1"/>
    <col min="5894" max="5898" width="15.140625" style="265" customWidth="1"/>
    <col min="5899" max="5964" width="11.7109375" style="265" customWidth="1"/>
    <col min="5965" max="6143" width="9.140625" style="265"/>
    <col min="6144" max="6147" width="1.28515625" style="265" customWidth="1"/>
    <col min="6148" max="6148" width="13.5703125" style="265" bestFit="1" customWidth="1"/>
    <col min="6149" max="6149" width="28" style="265" bestFit="1" customWidth="1"/>
    <col min="6150" max="6154" width="15.140625" style="265" customWidth="1"/>
    <col min="6155" max="6220" width="11.7109375" style="265" customWidth="1"/>
    <col min="6221" max="6399" width="9.140625" style="265"/>
    <col min="6400" max="6403" width="1.28515625" style="265" customWidth="1"/>
    <col min="6404" max="6404" width="13.5703125" style="265" bestFit="1" customWidth="1"/>
    <col min="6405" max="6405" width="28" style="265" bestFit="1" customWidth="1"/>
    <col min="6406" max="6410" width="15.140625" style="265" customWidth="1"/>
    <col min="6411" max="6476" width="11.7109375" style="265" customWidth="1"/>
    <col min="6477" max="6655" width="9.140625" style="265"/>
    <col min="6656" max="6659" width="1.28515625" style="265" customWidth="1"/>
    <col min="6660" max="6660" width="13.5703125" style="265" bestFit="1" customWidth="1"/>
    <col min="6661" max="6661" width="28" style="265" bestFit="1" customWidth="1"/>
    <col min="6662" max="6666" width="15.140625" style="265" customWidth="1"/>
    <col min="6667" max="6732" width="11.7109375" style="265" customWidth="1"/>
    <col min="6733" max="6911" width="9.140625" style="265"/>
    <col min="6912" max="6915" width="1.28515625" style="265" customWidth="1"/>
    <col min="6916" max="6916" width="13.5703125" style="265" bestFit="1" customWidth="1"/>
    <col min="6917" max="6917" width="28" style="265" bestFit="1" customWidth="1"/>
    <col min="6918" max="6922" width="15.140625" style="265" customWidth="1"/>
    <col min="6923" max="6988" width="11.7109375" style="265" customWidth="1"/>
    <col min="6989" max="7167" width="9.140625" style="265"/>
    <col min="7168" max="7171" width="1.28515625" style="265" customWidth="1"/>
    <col min="7172" max="7172" width="13.5703125" style="265" bestFit="1" customWidth="1"/>
    <col min="7173" max="7173" width="28" style="265" bestFit="1" customWidth="1"/>
    <col min="7174" max="7178" width="15.140625" style="265" customWidth="1"/>
    <col min="7179" max="7244" width="11.7109375" style="265" customWidth="1"/>
    <col min="7245" max="7423" width="9.140625" style="265"/>
    <col min="7424" max="7427" width="1.28515625" style="265" customWidth="1"/>
    <col min="7428" max="7428" width="13.5703125" style="265" bestFit="1" customWidth="1"/>
    <col min="7429" max="7429" width="28" style="265" bestFit="1" customWidth="1"/>
    <col min="7430" max="7434" width="15.140625" style="265" customWidth="1"/>
    <col min="7435" max="7500" width="11.7109375" style="265" customWidth="1"/>
    <col min="7501" max="7679" width="9.140625" style="265"/>
    <col min="7680" max="7683" width="1.28515625" style="265" customWidth="1"/>
    <col min="7684" max="7684" width="13.5703125" style="265" bestFit="1" customWidth="1"/>
    <col min="7685" max="7685" width="28" style="265" bestFit="1" customWidth="1"/>
    <col min="7686" max="7690" width="15.140625" style="265" customWidth="1"/>
    <col min="7691" max="7756" width="11.7109375" style="265" customWidth="1"/>
    <col min="7757" max="7935" width="9.140625" style="265"/>
    <col min="7936" max="7939" width="1.28515625" style="265" customWidth="1"/>
    <col min="7940" max="7940" width="13.5703125" style="265" bestFit="1" customWidth="1"/>
    <col min="7941" max="7941" width="28" style="265" bestFit="1" customWidth="1"/>
    <col min="7942" max="7946" width="15.140625" style="265" customWidth="1"/>
    <col min="7947" max="8012" width="11.7109375" style="265" customWidth="1"/>
    <col min="8013" max="8191" width="9.140625" style="265"/>
    <col min="8192" max="8195" width="1.28515625" style="265" customWidth="1"/>
    <col min="8196" max="8196" width="13.5703125" style="265" bestFit="1" customWidth="1"/>
    <col min="8197" max="8197" width="28" style="265" bestFit="1" customWidth="1"/>
    <col min="8198" max="8202" width="15.140625" style="265" customWidth="1"/>
    <col min="8203" max="8268" width="11.7109375" style="265" customWidth="1"/>
    <col min="8269" max="8447" width="9.140625" style="265"/>
    <col min="8448" max="8451" width="1.28515625" style="265" customWidth="1"/>
    <col min="8452" max="8452" width="13.5703125" style="265" bestFit="1" customWidth="1"/>
    <col min="8453" max="8453" width="28" style="265" bestFit="1" customWidth="1"/>
    <col min="8454" max="8458" width="15.140625" style="265" customWidth="1"/>
    <col min="8459" max="8524" width="11.7109375" style="265" customWidth="1"/>
    <col min="8525" max="8703" width="9.140625" style="265"/>
    <col min="8704" max="8707" width="1.28515625" style="265" customWidth="1"/>
    <col min="8708" max="8708" width="13.5703125" style="265" bestFit="1" customWidth="1"/>
    <col min="8709" max="8709" width="28" style="265" bestFit="1" customWidth="1"/>
    <col min="8710" max="8714" width="15.140625" style="265" customWidth="1"/>
    <col min="8715" max="8780" width="11.7109375" style="265" customWidth="1"/>
    <col min="8781" max="8959" width="9.140625" style="265"/>
    <col min="8960" max="8963" width="1.28515625" style="265" customWidth="1"/>
    <col min="8964" max="8964" width="13.5703125" style="265" bestFit="1" customWidth="1"/>
    <col min="8965" max="8965" width="28" style="265" bestFit="1" customWidth="1"/>
    <col min="8966" max="8970" width="15.140625" style="265" customWidth="1"/>
    <col min="8971" max="9036" width="11.7109375" style="265" customWidth="1"/>
    <col min="9037" max="9215" width="9.140625" style="265"/>
    <col min="9216" max="9219" width="1.28515625" style="265" customWidth="1"/>
    <col min="9220" max="9220" width="13.5703125" style="265" bestFit="1" customWidth="1"/>
    <col min="9221" max="9221" width="28" style="265" bestFit="1" customWidth="1"/>
    <col min="9222" max="9226" width="15.140625" style="265" customWidth="1"/>
    <col min="9227" max="9292" width="11.7109375" style="265" customWidth="1"/>
    <col min="9293" max="9471" width="9.140625" style="265"/>
    <col min="9472" max="9475" width="1.28515625" style="265" customWidth="1"/>
    <col min="9476" max="9476" width="13.5703125" style="265" bestFit="1" customWidth="1"/>
    <col min="9477" max="9477" width="28" style="265" bestFit="1" customWidth="1"/>
    <col min="9478" max="9482" width="15.140625" style="265" customWidth="1"/>
    <col min="9483" max="9548" width="11.7109375" style="265" customWidth="1"/>
    <col min="9549" max="9727" width="9.140625" style="265"/>
    <col min="9728" max="9731" width="1.28515625" style="265" customWidth="1"/>
    <col min="9732" max="9732" width="13.5703125" style="265" bestFit="1" customWidth="1"/>
    <col min="9733" max="9733" width="28" style="265" bestFit="1" customWidth="1"/>
    <col min="9734" max="9738" width="15.140625" style="265" customWidth="1"/>
    <col min="9739" max="9804" width="11.7109375" style="265" customWidth="1"/>
    <col min="9805" max="9983" width="9.140625" style="265"/>
    <col min="9984" max="9987" width="1.28515625" style="265" customWidth="1"/>
    <col min="9988" max="9988" width="13.5703125" style="265" bestFit="1" customWidth="1"/>
    <col min="9989" max="9989" width="28" style="265" bestFit="1" customWidth="1"/>
    <col min="9990" max="9994" width="15.140625" style="265" customWidth="1"/>
    <col min="9995" max="10060" width="11.7109375" style="265" customWidth="1"/>
    <col min="10061" max="10239" width="9.140625" style="265"/>
    <col min="10240" max="10243" width="1.28515625" style="265" customWidth="1"/>
    <col min="10244" max="10244" width="13.5703125" style="265" bestFit="1" customWidth="1"/>
    <col min="10245" max="10245" width="28" style="265" bestFit="1" customWidth="1"/>
    <col min="10246" max="10250" width="15.140625" style="265" customWidth="1"/>
    <col min="10251" max="10316" width="11.7109375" style="265" customWidth="1"/>
    <col min="10317" max="10495" width="9.140625" style="265"/>
    <col min="10496" max="10499" width="1.28515625" style="265" customWidth="1"/>
    <col min="10500" max="10500" width="13.5703125" style="265" bestFit="1" customWidth="1"/>
    <col min="10501" max="10501" width="28" style="265" bestFit="1" customWidth="1"/>
    <col min="10502" max="10506" width="15.140625" style="265" customWidth="1"/>
    <col min="10507" max="10572" width="11.7109375" style="265" customWidth="1"/>
    <col min="10573" max="10751" width="9.140625" style="265"/>
    <col min="10752" max="10755" width="1.28515625" style="265" customWidth="1"/>
    <col min="10756" max="10756" width="13.5703125" style="265" bestFit="1" customWidth="1"/>
    <col min="10757" max="10757" width="28" style="265" bestFit="1" customWidth="1"/>
    <col min="10758" max="10762" width="15.140625" style="265" customWidth="1"/>
    <col min="10763" max="10828" width="11.7109375" style="265" customWidth="1"/>
    <col min="10829" max="11007" width="9.140625" style="265"/>
    <col min="11008" max="11011" width="1.28515625" style="265" customWidth="1"/>
    <col min="11012" max="11012" width="13.5703125" style="265" bestFit="1" customWidth="1"/>
    <col min="11013" max="11013" width="28" style="265" bestFit="1" customWidth="1"/>
    <col min="11014" max="11018" width="15.140625" style="265" customWidth="1"/>
    <col min="11019" max="11084" width="11.7109375" style="265" customWidth="1"/>
    <col min="11085" max="11263" width="9.140625" style="265"/>
    <col min="11264" max="11267" width="1.28515625" style="265" customWidth="1"/>
    <col min="11268" max="11268" width="13.5703125" style="265" bestFit="1" customWidth="1"/>
    <col min="11269" max="11269" width="28" style="265" bestFit="1" customWidth="1"/>
    <col min="11270" max="11274" width="15.140625" style="265" customWidth="1"/>
    <col min="11275" max="11340" width="11.7109375" style="265" customWidth="1"/>
    <col min="11341" max="11519" width="9.140625" style="265"/>
    <col min="11520" max="11523" width="1.28515625" style="265" customWidth="1"/>
    <col min="11524" max="11524" width="13.5703125" style="265" bestFit="1" customWidth="1"/>
    <col min="11525" max="11525" width="28" style="265" bestFit="1" customWidth="1"/>
    <col min="11526" max="11530" width="15.140625" style="265" customWidth="1"/>
    <col min="11531" max="11596" width="11.7109375" style="265" customWidth="1"/>
    <col min="11597" max="11775" width="9.140625" style="265"/>
    <col min="11776" max="11779" width="1.28515625" style="265" customWidth="1"/>
    <col min="11780" max="11780" width="13.5703125" style="265" bestFit="1" customWidth="1"/>
    <col min="11781" max="11781" width="28" style="265" bestFit="1" customWidth="1"/>
    <col min="11782" max="11786" width="15.140625" style="265" customWidth="1"/>
    <col min="11787" max="11852" width="11.7109375" style="265" customWidth="1"/>
    <col min="11853" max="12031" width="9.140625" style="265"/>
    <col min="12032" max="12035" width="1.28515625" style="265" customWidth="1"/>
    <col min="12036" max="12036" width="13.5703125" style="265" bestFit="1" customWidth="1"/>
    <col min="12037" max="12037" width="28" style="265" bestFit="1" customWidth="1"/>
    <col min="12038" max="12042" width="15.140625" style="265" customWidth="1"/>
    <col min="12043" max="12108" width="11.7109375" style="265" customWidth="1"/>
    <col min="12109" max="12287" width="9.140625" style="265"/>
    <col min="12288" max="12291" width="1.28515625" style="265" customWidth="1"/>
    <col min="12292" max="12292" width="13.5703125" style="265" bestFit="1" customWidth="1"/>
    <col min="12293" max="12293" width="28" style="265" bestFit="1" customWidth="1"/>
    <col min="12294" max="12298" width="15.140625" style="265" customWidth="1"/>
    <col min="12299" max="12364" width="11.7109375" style="265" customWidth="1"/>
    <col min="12365" max="12543" width="9.140625" style="265"/>
    <col min="12544" max="12547" width="1.28515625" style="265" customWidth="1"/>
    <col min="12548" max="12548" width="13.5703125" style="265" bestFit="1" customWidth="1"/>
    <col min="12549" max="12549" width="28" style="265" bestFit="1" customWidth="1"/>
    <col min="12550" max="12554" width="15.140625" style="265" customWidth="1"/>
    <col min="12555" max="12620" width="11.7109375" style="265" customWidth="1"/>
    <col min="12621" max="12799" width="9.140625" style="265"/>
    <col min="12800" max="12803" width="1.28515625" style="265" customWidth="1"/>
    <col min="12804" max="12804" width="13.5703125" style="265" bestFit="1" customWidth="1"/>
    <col min="12805" max="12805" width="28" style="265" bestFit="1" customWidth="1"/>
    <col min="12806" max="12810" width="15.140625" style="265" customWidth="1"/>
    <col min="12811" max="12876" width="11.7109375" style="265" customWidth="1"/>
    <col min="12877" max="13055" width="9.140625" style="265"/>
    <col min="13056" max="13059" width="1.28515625" style="265" customWidth="1"/>
    <col min="13060" max="13060" width="13.5703125" style="265" bestFit="1" customWidth="1"/>
    <col min="13061" max="13061" width="28" style="265" bestFit="1" customWidth="1"/>
    <col min="13062" max="13066" width="15.140625" style="265" customWidth="1"/>
    <col min="13067" max="13132" width="11.7109375" style="265" customWidth="1"/>
    <col min="13133" max="13311" width="9.140625" style="265"/>
    <col min="13312" max="13315" width="1.28515625" style="265" customWidth="1"/>
    <col min="13316" max="13316" width="13.5703125" style="265" bestFit="1" customWidth="1"/>
    <col min="13317" max="13317" width="28" style="265" bestFit="1" customWidth="1"/>
    <col min="13318" max="13322" width="15.140625" style="265" customWidth="1"/>
    <col min="13323" max="13388" width="11.7109375" style="265" customWidth="1"/>
    <col min="13389" max="13567" width="9.140625" style="265"/>
    <col min="13568" max="13571" width="1.28515625" style="265" customWidth="1"/>
    <col min="13572" max="13572" width="13.5703125" style="265" bestFit="1" customWidth="1"/>
    <col min="13573" max="13573" width="28" style="265" bestFit="1" customWidth="1"/>
    <col min="13574" max="13578" width="15.140625" style="265" customWidth="1"/>
    <col min="13579" max="13644" width="11.7109375" style="265" customWidth="1"/>
    <col min="13645" max="13823" width="9.140625" style="265"/>
    <col min="13824" max="13827" width="1.28515625" style="265" customWidth="1"/>
    <col min="13828" max="13828" width="13.5703125" style="265" bestFit="1" customWidth="1"/>
    <col min="13829" max="13829" width="28" style="265" bestFit="1" customWidth="1"/>
    <col min="13830" max="13834" width="15.140625" style="265" customWidth="1"/>
    <col min="13835" max="13900" width="11.7109375" style="265" customWidth="1"/>
    <col min="13901" max="14079" width="9.140625" style="265"/>
    <col min="14080" max="14083" width="1.28515625" style="265" customWidth="1"/>
    <col min="14084" max="14084" width="13.5703125" style="265" bestFit="1" customWidth="1"/>
    <col min="14085" max="14085" width="28" style="265" bestFit="1" customWidth="1"/>
    <col min="14086" max="14090" width="15.140625" style="265" customWidth="1"/>
    <col min="14091" max="14156" width="11.7109375" style="265" customWidth="1"/>
    <col min="14157" max="14335" width="9.140625" style="265"/>
    <col min="14336" max="14339" width="1.28515625" style="265" customWidth="1"/>
    <col min="14340" max="14340" width="13.5703125" style="265" bestFit="1" customWidth="1"/>
    <col min="14341" max="14341" width="28" style="265" bestFit="1" customWidth="1"/>
    <col min="14342" max="14346" width="15.140625" style="265" customWidth="1"/>
    <col min="14347" max="14412" width="11.7109375" style="265" customWidth="1"/>
    <col min="14413" max="14591" width="9.140625" style="265"/>
    <col min="14592" max="14595" width="1.28515625" style="265" customWidth="1"/>
    <col min="14596" max="14596" width="13.5703125" style="265" bestFit="1" customWidth="1"/>
    <col min="14597" max="14597" width="28" style="265" bestFit="1" customWidth="1"/>
    <col min="14598" max="14602" width="15.140625" style="265" customWidth="1"/>
    <col min="14603" max="14668" width="11.7109375" style="265" customWidth="1"/>
    <col min="14669" max="14847" width="9.140625" style="265"/>
    <col min="14848" max="14851" width="1.28515625" style="265" customWidth="1"/>
    <col min="14852" max="14852" width="13.5703125" style="265" bestFit="1" customWidth="1"/>
    <col min="14853" max="14853" width="28" style="265" bestFit="1" customWidth="1"/>
    <col min="14854" max="14858" width="15.140625" style="265" customWidth="1"/>
    <col min="14859" max="14924" width="11.7109375" style="265" customWidth="1"/>
    <col min="14925" max="15103" width="9.140625" style="265"/>
    <col min="15104" max="15107" width="1.28515625" style="265" customWidth="1"/>
    <col min="15108" max="15108" width="13.5703125" style="265" bestFit="1" customWidth="1"/>
    <col min="15109" max="15109" width="28" style="265" bestFit="1" customWidth="1"/>
    <col min="15110" max="15114" width="15.140625" style="265" customWidth="1"/>
    <col min="15115" max="15180" width="11.7109375" style="265" customWidth="1"/>
    <col min="15181" max="15359" width="9.140625" style="265"/>
    <col min="15360" max="15363" width="1.28515625" style="265" customWidth="1"/>
    <col min="15364" max="15364" width="13.5703125" style="265" bestFit="1" customWidth="1"/>
    <col min="15365" max="15365" width="28" style="265" bestFit="1" customWidth="1"/>
    <col min="15366" max="15370" width="15.140625" style="265" customWidth="1"/>
    <col min="15371" max="15436" width="11.7109375" style="265" customWidth="1"/>
    <col min="15437" max="15615" width="9.140625" style="265"/>
    <col min="15616" max="15619" width="1.28515625" style="265" customWidth="1"/>
    <col min="15620" max="15620" width="13.5703125" style="265" bestFit="1" customWidth="1"/>
    <col min="15621" max="15621" width="28" style="265" bestFit="1" customWidth="1"/>
    <col min="15622" max="15626" width="15.140625" style="265" customWidth="1"/>
    <col min="15627" max="15692" width="11.7109375" style="265" customWidth="1"/>
    <col min="15693" max="15871" width="9.140625" style="265"/>
    <col min="15872" max="15875" width="1.28515625" style="265" customWidth="1"/>
    <col min="15876" max="15876" width="13.5703125" style="265" bestFit="1" customWidth="1"/>
    <col min="15877" max="15877" width="28" style="265" bestFit="1" customWidth="1"/>
    <col min="15878" max="15882" width="15.140625" style="265" customWidth="1"/>
    <col min="15883" max="15948" width="11.7109375" style="265" customWidth="1"/>
    <col min="15949" max="16127" width="9.140625" style="265"/>
    <col min="16128" max="16131" width="1.28515625" style="265" customWidth="1"/>
    <col min="16132" max="16132" width="13.5703125" style="265" bestFit="1" customWidth="1"/>
    <col min="16133" max="16133" width="28" style="265" bestFit="1" customWidth="1"/>
    <col min="16134" max="16138" width="15.140625" style="265" customWidth="1"/>
    <col min="16139" max="16204" width="11.7109375" style="265" customWidth="1"/>
    <col min="16205" max="16384" width="9.140625" style="265"/>
  </cols>
  <sheetData>
    <row r="1" spans="1:76" ht="26.25">
      <c r="A1" s="403" t="str">
        <f ca="1" xml:space="preserve"> RIGHT(CELL("filename", A1), LEN(CELL("filename", A1)) - SEARCH("]", CELL("filename", A1)))</f>
        <v>Scenario &amp; Sensitivity</v>
      </c>
    </row>
    <row r="2" spans="1:76" s="409" customFormat="1">
      <c r="A2" s="404"/>
      <c r="B2" s="405"/>
      <c r="C2" s="406"/>
      <c r="D2" s="404"/>
      <c r="E2" s="407"/>
      <c r="F2" s="298"/>
      <c r="G2" s="408"/>
      <c r="H2" s="404"/>
      <c r="I2" s="404"/>
    </row>
    <row r="3" spans="1:76">
      <c r="G3" s="410"/>
      <c r="I3" s="404"/>
      <c r="J3" s="409"/>
      <c r="K3" s="432">
        <f xml:space="preserve"> Valn!F$74</f>
        <v>596.18312819813843</v>
      </c>
      <c r="L3" s="409"/>
      <c r="M3" s="409"/>
      <c r="N3" s="409"/>
      <c r="O3" s="409"/>
      <c r="P3" s="409"/>
      <c r="Q3" s="409"/>
      <c r="R3" s="409"/>
      <c r="S3" s="409"/>
      <c r="T3" s="409"/>
      <c r="U3" s="409"/>
      <c r="V3" s="409"/>
      <c r="W3" s="409"/>
      <c r="X3" s="409"/>
      <c r="Y3" s="409"/>
      <c r="Z3" s="409"/>
      <c r="AA3" s="409"/>
      <c r="AB3" s="409"/>
      <c r="AC3" s="409"/>
      <c r="AD3" s="409"/>
      <c r="AE3" s="409"/>
      <c r="AF3" s="409"/>
      <c r="AG3" s="409"/>
      <c r="AH3" s="409"/>
      <c r="AI3" s="409"/>
      <c r="AJ3" s="409"/>
      <c r="AK3" s="409"/>
      <c r="AL3" s="409"/>
      <c r="AM3" s="409"/>
      <c r="AN3" s="409"/>
      <c r="AO3" s="409"/>
      <c r="AP3" s="409"/>
      <c r="AQ3" s="409"/>
      <c r="AR3" s="409"/>
      <c r="AS3" s="409"/>
      <c r="AT3" s="409"/>
      <c r="AU3" s="409"/>
      <c r="AV3" s="409"/>
      <c r="AW3" s="409"/>
      <c r="AX3" s="409"/>
      <c r="AY3" s="409"/>
      <c r="AZ3" s="409"/>
      <c r="BA3" s="409"/>
      <c r="BB3" s="409"/>
      <c r="BC3" s="409"/>
      <c r="BD3" s="409"/>
      <c r="BE3" s="409"/>
      <c r="BF3" s="409"/>
      <c r="BG3" s="409"/>
      <c r="BH3" s="409"/>
      <c r="BI3" s="409"/>
      <c r="BJ3" s="409"/>
      <c r="BK3" s="409"/>
      <c r="BL3" s="409"/>
      <c r="BM3" s="409"/>
      <c r="BN3" s="409"/>
      <c r="BO3" s="409"/>
      <c r="BP3" s="409"/>
      <c r="BQ3" s="409"/>
      <c r="BR3" s="409"/>
      <c r="BS3" s="409"/>
      <c r="BT3" s="409"/>
      <c r="BU3" s="409"/>
      <c r="BV3" s="409"/>
      <c r="BW3" s="409"/>
      <c r="BX3" s="409"/>
    </row>
    <row r="4" spans="1:76">
      <c r="G4" s="410"/>
      <c r="I4" s="411"/>
      <c r="J4" s="412"/>
      <c r="K4" s="412"/>
      <c r="L4" s="412"/>
      <c r="M4" s="412"/>
      <c r="N4" s="412"/>
      <c r="O4" s="412"/>
      <c r="P4" s="412"/>
      <c r="Q4" s="412"/>
      <c r="R4" s="412"/>
      <c r="S4" s="412"/>
      <c r="T4" s="412"/>
      <c r="U4" s="412"/>
      <c r="V4" s="412"/>
      <c r="W4" s="412"/>
      <c r="X4" s="412"/>
      <c r="Y4" s="412"/>
      <c r="Z4" s="412"/>
      <c r="AA4" s="412"/>
      <c r="AB4" s="412"/>
      <c r="AC4" s="412"/>
      <c r="AD4" s="412"/>
      <c r="AE4" s="412"/>
      <c r="AF4" s="412"/>
      <c r="AG4" s="412"/>
      <c r="AH4" s="412"/>
      <c r="AI4" s="412"/>
      <c r="AJ4" s="412"/>
      <c r="AK4" s="412"/>
      <c r="AL4" s="412"/>
      <c r="AM4" s="412"/>
      <c r="AN4" s="412"/>
      <c r="AO4" s="412"/>
      <c r="AP4" s="412"/>
      <c r="AQ4" s="412"/>
      <c r="AR4" s="412"/>
      <c r="AS4" s="412"/>
      <c r="AT4" s="412"/>
      <c r="AU4" s="412"/>
      <c r="AV4" s="412"/>
      <c r="AW4" s="412"/>
      <c r="AX4" s="412"/>
      <c r="AY4" s="412"/>
      <c r="AZ4" s="412"/>
      <c r="BA4" s="412"/>
      <c r="BB4" s="412"/>
      <c r="BC4" s="412"/>
      <c r="BD4" s="412"/>
      <c r="BE4" s="412"/>
      <c r="BF4" s="412"/>
      <c r="BG4" s="412"/>
      <c r="BH4" s="412"/>
      <c r="BI4" s="412"/>
      <c r="BJ4" s="412"/>
      <c r="BK4" s="412"/>
      <c r="BL4" s="412"/>
      <c r="BM4" s="412"/>
      <c r="BN4" s="412"/>
      <c r="BO4" s="412"/>
      <c r="BP4" s="412"/>
      <c r="BQ4" s="412"/>
      <c r="BR4" s="412"/>
      <c r="BS4" s="412"/>
      <c r="BT4" s="412"/>
      <c r="BU4" s="412"/>
      <c r="BV4" s="412"/>
      <c r="BW4" s="412"/>
      <c r="BX4" s="412"/>
    </row>
    <row r="5" spans="1:76">
      <c r="F5" s="294"/>
      <c r="G5" s="294"/>
      <c r="H5" s="294"/>
    </row>
    <row r="6" spans="1:76">
      <c r="F6" s="294"/>
      <c r="G6" s="294"/>
      <c r="H6" s="294"/>
    </row>
    <row r="7" spans="1:76" s="324" customFormat="1">
      <c r="A7" s="311"/>
      <c r="B7" s="311" t="s">
        <v>442</v>
      </c>
      <c r="C7" s="312"/>
      <c r="D7" s="313"/>
      <c r="E7" s="314"/>
      <c r="F7" s="311"/>
      <c r="G7" s="311"/>
      <c r="H7" s="311"/>
      <c r="I7" s="314"/>
    </row>
    <row r="9" spans="1:76" s="418" customFormat="1" ht="30">
      <c r="A9" s="413"/>
      <c r="B9" s="414"/>
      <c r="C9" s="415"/>
      <c r="D9" s="416"/>
      <c r="E9" s="417" t="s">
        <v>428</v>
      </c>
      <c r="F9" s="417" t="s">
        <v>429</v>
      </c>
      <c r="G9" s="428" t="s">
        <v>438</v>
      </c>
      <c r="H9" s="428" t="s">
        <v>439</v>
      </c>
      <c r="I9" s="428" t="s">
        <v>440</v>
      </c>
      <c r="J9" s="428" t="s">
        <v>441</v>
      </c>
      <c r="K9" s="428" t="s">
        <v>405</v>
      </c>
    </row>
    <row r="10" spans="1:76" ht="15">
      <c r="E10" s="419" t="s">
        <v>430</v>
      </c>
      <c r="F10" s="423" t="s">
        <v>438</v>
      </c>
      <c r="G10" s="420">
        <v>2</v>
      </c>
      <c r="H10" s="421">
        <v>1</v>
      </c>
      <c r="I10" s="421">
        <v>1</v>
      </c>
      <c r="J10" s="429">
        <v>0.2</v>
      </c>
      <c r="K10" s="429">
        <v>0.05</v>
      </c>
    </row>
    <row r="11" spans="1:76" ht="15">
      <c r="E11" s="419" t="s">
        <v>431</v>
      </c>
      <c r="F11" s="423" t="s">
        <v>439</v>
      </c>
      <c r="G11" s="422">
        <v>1</v>
      </c>
      <c r="H11" s="420">
        <v>2</v>
      </c>
      <c r="I11" s="421">
        <v>1</v>
      </c>
      <c r="J11" s="429">
        <v>0.2</v>
      </c>
      <c r="K11" s="429">
        <v>0.05</v>
      </c>
    </row>
    <row r="12" spans="1:76" ht="15">
      <c r="E12" s="419" t="s">
        <v>432</v>
      </c>
      <c r="F12" s="423" t="s">
        <v>440</v>
      </c>
      <c r="G12" s="421">
        <v>1</v>
      </c>
      <c r="H12" s="422">
        <v>1</v>
      </c>
      <c r="I12" s="420">
        <v>2</v>
      </c>
      <c r="J12" s="429">
        <v>0.2</v>
      </c>
      <c r="K12" s="429">
        <v>0.05</v>
      </c>
    </row>
    <row r="13" spans="1:76" ht="15">
      <c r="E13" s="419" t="s">
        <v>433</v>
      </c>
      <c r="F13" s="423" t="s">
        <v>441</v>
      </c>
      <c r="G13" s="421">
        <v>3</v>
      </c>
      <c r="H13" s="421">
        <v>3</v>
      </c>
      <c r="I13" s="422">
        <v>3</v>
      </c>
      <c r="J13" s="430">
        <v>0.2</v>
      </c>
      <c r="K13" s="429">
        <v>0.05</v>
      </c>
    </row>
    <row r="14" spans="1:76" ht="15">
      <c r="E14" s="419" t="s">
        <v>434</v>
      </c>
      <c r="F14" s="423" t="s">
        <v>405</v>
      </c>
      <c r="G14" s="421">
        <v>2</v>
      </c>
      <c r="H14" s="421">
        <v>2</v>
      </c>
      <c r="I14" s="421">
        <v>2</v>
      </c>
      <c r="J14" s="431">
        <v>0.2</v>
      </c>
      <c r="K14" s="430">
        <v>0.05</v>
      </c>
    </row>
    <row r="15" spans="1:76" ht="15">
      <c r="E15" s="423" t="s">
        <v>435</v>
      </c>
      <c r="F15" s="423" t="s">
        <v>436</v>
      </c>
      <c r="G15" s="420">
        <v>1</v>
      </c>
      <c r="H15" s="420">
        <v>1</v>
      </c>
      <c r="I15" s="420">
        <v>1</v>
      </c>
      <c r="J15" s="430">
        <v>0.2</v>
      </c>
      <c r="K15" s="430">
        <v>0.05</v>
      </c>
    </row>
    <row r="16" spans="1:76" ht="14.25">
      <c r="E16" s="424"/>
      <c r="F16" s="424"/>
      <c r="G16" s="425"/>
      <c r="H16" s="425"/>
      <c r="I16" s="425"/>
      <c r="J16" s="425"/>
      <c r="K16" s="425"/>
    </row>
    <row r="17" spans="1:14" ht="15" thickBot="1">
      <c r="E17" s="424" t="s">
        <v>437</v>
      </c>
      <c r="F17" s="424"/>
      <c r="G17" s="425"/>
      <c r="H17" s="425"/>
      <c r="I17" s="425"/>
      <c r="J17" s="425"/>
      <c r="K17" s="425"/>
    </row>
    <row r="18" spans="1:14" ht="17.25" thickBot="1">
      <c r="E18" s="426" t="s">
        <v>434</v>
      </c>
      <c r="F18" s="427" t="str">
        <f xml:space="preserve"> VLOOKUP($E18, $E$10:$K$15, COLUMN() - COLUMNS($A$18:$D$18), FALSE)</f>
        <v>Terminal growth rate</v>
      </c>
      <c r="G18" s="444">
        <f t="shared" ref="G18:I18" si="0" xml:space="preserve"> VLOOKUP($E18, $E$10:$K$15, COLUMN() - COLUMNS($A$18:$D$18), FALSE)</f>
        <v>2</v>
      </c>
      <c r="H18" s="444">
        <f t="shared" si="0"/>
        <v>2</v>
      </c>
      <c r="I18" s="444">
        <f t="shared" si="0"/>
        <v>2</v>
      </c>
      <c r="J18" s="429">
        <f xml:space="preserve"> VLOOKUP($E18, $E$10:$K$15, COLUMN() - COLUMNS($A$18:$D$18), FALSE)</f>
        <v>0.2</v>
      </c>
      <c r="K18" s="429">
        <f xml:space="preserve"> VLOOKUP($E18, $E$10:$K$15, COLUMN() - COLUMNS($A$18:$D$18), FALSE)</f>
        <v>0.05</v>
      </c>
    </row>
    <row r="21" spans="1:14" s="324" customFormat="1">
      <c r="A21" s="311"/>
      <c r="B21" s="311" t="s">
        <v>443</v>
      </c>
      <c r="C21" s="312"/>
      <c r="D21" s="313"/>
      <c r="E21" s="314"/>
      <c r="F21" s="314"/>
      <c r="G21" s="314"/>
      <c r="H21" s="314"/>
      <c r="I21" s="314"/>
    </row>
    <row r="23" spans="1:14" ht="13.5" thickBot="1"/>
    <row r="24" spans="1:14">
      <c r="E24" s="443"/>
      <c r="F24" s="527" t="s">
        <v>444</v>
      </c>
      <c r="G24" s="527"/>
      <c r="H24" s="527"/>
      <c r="I24" s="527"/>
      <c r="J24" s="527"/>
      <c r="K24" s="527"/>
      <c r="L24" s="527"/>
      <c r="M24" s="527"/>
      <c r="N24" s="528"/>
    </row>
    <row r="25" spans="1:14" ht="12.75" customHeight="1">
      <c r="E25" s="529" t="s">
        <v>445</v>
      </c>
      <c r="F25" s="432">
        <f xml:space="preserve"> Valn!F$74</f>
        <v>596.18312819813843</v>
      </c>
      <c r="G25" s="433">
        <v>0.17</v>
      </c>
      <c r="H25" s="433">
        <v>0.18</v>
      </c>
      <c r="I25" s="433">
        <v>0.19</v>
      </c>
      <c r="J25" s="433">
        <v>0.2</v>
      </c>
      <c r="K25" s="433">
        <v>0.21</v>
      </c>
      <c r="L25" s="433">
        <v>0.22</v>
      </c>
      <c r="M25" s="433">
        <v>0.23</v>
      </c>
      <c r="N25" s="437">
        <v>0.24</v>
      </c>
    </row>
    <row r="26" spans="1:14">
      <c r="E26" s="529"/>
      <c r="F26" s="434">
        <v>0</v>
      </c>
      <c r="G26" s="435">
        <f t="dataTable" ref="G26:N34" dt2D="1" dtr="1" r1="J18" r2="K18"/>
        <v>602.71554391289487</v>
      </c>
      <c r="H26" s="435">
        <v>562.54568888836252</v>
      </c>
      <c r="I26" s="435">
        <v>526.81556901309023</v>
      </c>
      <c r="J26" s="436">
        <v>494.85010393200696</v>
      </c>
      <c r="K26" s="436">
        <v>466.10326992765056</v>
      </c>
      <c r="L26" s="436">
        <v>440.12874092978075</v>
      </c>
      <c r="M26" s="436">
        <v>416.5581902672256</v>
      </c>
      <c r="N26" s="438">
        <v>395.08501863889308</v>
      </c>
    </row>
    <row r="27" spans="1:14">
      <c r="E27" s="529"/>
      <c r="F27" s="433">
        <v>0.01</v>
      </c>
      <c r="G27" s="435">
        <v>627.59525497690584</v>
      </c>
      <c r="H27" s="435">
        <v>583.87896763253059</v>
      </c>
      <c r="I27" s="435">
        <v>545.23387444187586</v>
      </c>
      <c r="J27" s="436">
        <v>510.85005513192249</v>
      </c>
      <c r="K27" s="436">
        <v>480.08004656917097</v>
      </c>
      <c r="L27" s="436">
        <v>452.40013443432809</v>
      </c>
      <c r="M27" s="436">
        <v>427.38220359144128</v>
      </c>
      <c r="N27" s="438">
        <v>404.67293349594473</v>
      </c>
    </row>
    <row r="28" spans="1:14">
      <c r="E28" s="529"/>
      <c r="F28" s="433">
        <v>0.02</v>
      </c>
      <c r="G28" s="435">
        <v>655.7922608494514</v>
      </c>
      <c r="H28" s="435">
        <v>607.87890621971974</v>
      </c>
      <c r="I28" s="435">
        <v>565.8190393328714</v>
      </c>
      <c r="J28" s="436">
        <v>528.62777868738408</v>
      </c>
      <c r="K28" s="436">
        <v>495.52806285716713</v>
      </c>
      <c r="L28" s="436">
        <v>465.89866728933009</v>
      </c>
      <c r="M28" s="436">
        <v>439.23707532748699</v>
      </c>
      <c r="N28" s="438">
        <v>415.13247697636456</v>
      </c>
    </row>
    <row r="29" spans="1:14">
      <c r="E29" s="529"/>
      <c r="F29" s="433">
        <v>0.03</v>
      </c>
      <c r="G29" s="435">
        <v>688.0174104180752</v>
      </c>
      <c r="H29" s="435">
        <v>635.07883661853407</v>
      </c>
      <c r="I29" s="435">
        <v>588.97734983524163</v>
      </c>
      <c r="J29" s="436">
        <v>548.49699913172367</v>
      </c>
      <c r="K29" s="436">
        <v>512.6925253993852</v>
      </c>
      <c r="L29" s="436">
        <v>480.81809833959539</v>
      </c>
      <c r="M29" s="436">
        <v>452.2774342371373</v>
      </c>
      <c r="N29" s="438">
        <v>426.58816745491964</v>
      </c>
    </row>
    <row r="30" spans="1:14">
      <c r="E30" s="529"/>
      <c r="F30" s="433">
        <v>0.04</v>
      </c>
      <c r="G30" s="435">
        <v>725.20027530494872</v>
      </c>
      <c r="H30" s="435">
        <v>666.16447136003615</v>
      </c>
      <c r="I30" s="435">
        <v>615.22343507126095</v>
      </c>
      <c r="J30" s="436">
        <v>570.84987213160571</v>
      </c>
      <c r="K30" s="436">
        <v>531.87633647598193</v>
      </c>
      <c r="L30" s="436">
        <v>497.39524395100148</v>
      </c>
      <c r="M30" s="436">
        <v>466.69046250569818</v>
      </c>
      <c r="N30" s="438">
        <v>439.18942698133037</v>
      </c>
    </row>
    <row r="31" spans="1:14">
      <c r="E31" s="529"/>
      <c r="F31" s="433">
        <v>0.05</v>
      </c>
      <c r="G31" s="435">
        <v>768.58028433963432</v>
      </c>
      <c r="H31" s="435">
        <v>702.03251144638466</v>
      </c>
      <c r="I31" s="435">
        <v>645.21896105528322</v>
      </c>
      <c r="J31" s="436">
        <v>596.18312819813843</v>
      </c>
      <c r="K31" s="436">
        <v>553.45812393715312</v>
      </c>
      <c r="L31" s="436">
        <v>515.92264198727867</v>
      </c>
      <c r="M31" s="436">
        <v>482.7049383596547</v>
      </c>
      <c r="N31" s="438">
        <v>453.11713487894201</v>
      </c>
    </row>
    <row r="32" spans="1:14">
      <c r="E32" s="529"/>
      <c r="F32" s="433">
        <v>0.06</v>
      </c>
      <c r="G32" s="435">
        <v>819.84756774426285</v>
      </c>
      <c r="H32" s="435">
        <v>743.87855821379128</v>
      </c>
      <c r="I32" s="435">
        <v>679.82918334453973</v>
      </c>
      <c r="J32" s="436">
        <v>625.1354208456047</v>
      </c>
      <c r="K32" s="436">
        <v>577.91748305981378</v>
      </c>
      <c r="L32" s="436">
        <v>536.76596477809062</v>
      </c>
      <c r="M32" s="436">
        <v>500.60347019642961</v>
      </c>
      <c r="N32" s="438">
        <v>468.5923658762884</v>
      </c>
    </row>
    <row r="33" spans="5:14">
      <c r="E33" s="529"/>
      <c r="F33" s="433">
        <v>7.0000000000000007E-2</v>
      </c>
      <c r="G33" s="435">
        <v>881.36830782981724</v>
      </c>
      <c r="H33" s="435">
        <v>793.33297712072635</v>
      </c>
      <c r="I33" s="435">
        <v>720.20777601533871</v>
      </c>
      <c r="J33" s="436">
        <v>658.54191236191184</v>
      </c>
      <c r="K33" s="436">
        <v>605.87103634285461</v>
      </c>
      <c r="L33" s="436">
        <v>560.38839727434413</v>
      </c>
      <c r="M33" s="436">
        <v>520.73931851280145</v>
      </c>
      <c r="N33" s="438">
        <v>485.88821228508726</v>
      </c>
    </row>
    <row r="34" spans="5:14" ht="13.5" thickBot="1">
      <c r="E34" s="530"/>
      <c r="F34" s="439">
        <v>0.08</v>
      </c>
      <c r="G34" s="440">
        <v>956.56032348993915</v>
      </c>
      <c r="H34" s="440">
        <v>852.67827980904872</v>
      </c>
      <c r="I34" s="440">
        <v>767.92793098991956</v>
      </c>
      <c r="J34" s="441">
        <v>697.51615246427002</v>
      </c>
      <c r="K34" s="441">
        <v>638.12513628482475</v>
      </c>
      <c r="L34" s="441">
        <v>587.38546298434812</v>
      </c>
      <c r="M34" s="441">
        <v>543.55994660468946</v>
      </c>
      <c r="N34" s="442">
        <v>505.34603949498609</v>
      </c>
    </row>
  </sheetData>
  <mergeCells count="2">
    <mergeCell ref="F24:N24"/>
    <mergeCell ref="E25:E34"/>
  </mergeCells>
  <conditionalFormatting sqref="G26:N34">
    <cfRule type="cellIs" dxfId="57" priority="1" operator="lessThan">
      <formula>350</formula>
    </cfRule>
  </conditionalFormatting>
  <dataValidations count="1">
    <dataValidation type="list" allowBlank="1" showInputMessage="1" showErrorMessage="1" error="Invalid Entry" prompt="Values restricted to those in the table above" sqref="E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E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E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E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E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E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E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E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E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E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E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E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E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E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E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E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xr:uid="{00000000-0002-0000-0200-000000000000}">
      <formula1>$E$10:$E$15</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3"/>
    <outlinePr summaryBelow="0" summaryRight="0"/>
  </sheetPr>
  <dimension ref="A1:W61"/>
  <sheetViews>
    <sheetView showGridLines="0" defaultGridColor="0" colorId="22" zoomScale="80" workbookViewId="0">
      <pane xSplit="9" ySplit="5" topLeftCell="J40" activePane="bottomRight" state="frozen"/>
      <selection activeCell="E73" sqref="E73"/>
      <selection pane="topRight" activeCell="E73" sqref="E73"/>
      <selection pane="bottomLeft" activeCell="E73" sqref="E73"/>
      <selection pane="bottomRight" activeCell="F59" sqref="F59"/>
    </sheetView>
  </sheetViews>
  <sheetFormatPr defaultColWidth="0" defaultRowHeight="12.75"/>
  <cols>
    <col min="1" max="2" width="1.28515625" style="4" customWidth="1"/>
    <col min="3" max="3" width="1.28515625" style="16" customWidth="1"/>
    <col min="4" max="4" width="1.28515625" style="88" customWidth="1"/>
    <col min="5" max="5" width="57" style="19" bestFit="1" customWidth="1"/>
    <col min="6" max="6" width="12.7109375" style="19" customWidth="1"/>
    <col min="7" max="8" width="11.7109375" style="19" customWidth="1"/>
    <col min="9" max="9" width="2.7109375" style="19" customWidth="1"/>
    <col min="10" max="27" width="11.7109375" style="19" customWidth="1"/>
    <col min="28" max="16384" width="0" style="19" hidden="1"/>
  </cols>
  <sheetData>
    <row r="1" spans="1:19" s="78" customFormat="1" ht="26.25">
      <c r="A1" s="75" t="str">
        <f ca="1" xml:space="preserve"> RIGHT(CELL("filename", A1), LEN(CELL("filename", A1)) - SEARCH("]", CELL("filename", A1)))</f>
        <v>InpC</v>
      </c>
      <c r="B1" s="4"/>
      <c r="C1" s="76"/>
      <c r="D1" s="77"/>
    </row>
    <row r="2" spans="1:19" s="87" customFormat="1">
      <c r="A2" s="84"/>
      <c r="B2" s="84"/>
      <c r="C2" s="85"/>
      <c r="D2" s="86"/>
      <c r="H2" s="89"/>
    </row>
    <row r="3" spans="1:19" s="87" customFormat="1">
      <c r="A3" s="84"/>
      <c r="B3" s="84"/>
      <c r="C3" s="85"/>
      <c r="D3" s="86"/>
      <c r="H3" s="89"/>
    </row>
    <row r="4" spans="1:19" s="87" customFormat="1">
      <c r="A4" s="84"/>
      <c r="B4" s="84"/>
      <c r="C4" s="85"/>
      <c r="D4" s="86"/>
      <c r="H4" s="89"/>
    </row>
    <row r="5" spans="1:19" s="79" customFormat="1">
      <c r="C5" s="80"/>
      <c r="D5" s="81"/>
      <c r="E5" s="82"/>
      <c r="F5" s="84" t="s">
        <v>24</v>
      </c>
      <c r="G5" s="84" t="s">
        <v>22</v>
      </c>
      <c r="H5" s="121"/>
    </row>
    <row r="7" spans="1:19">
      <c r="A7" s="4" t="s">
        <v>13</v>
      </c>
    </row>
    <row r="9" spans="1:19" s="33" customFormat="1">
      <c r="A9" s="24"/>
      <c r="B9" s="24"/>
      <c r="C9" s="28"/>
      <c r="D9" s="30"/>
      <c r="E9" s="33" t="s">
        <v>40</v>
      </c>
      <c r="F9" s="23">
        <v>39814</v>
      </c>
      <c r="G9" s="33" t="s">
        <v>17</v>
      </c>
    </row>
    <row r="11" spans="1:19">
      <c r="E11" s="19" t="s">
        <v>37</v>
      </c>
      <c r="F11" s="123">
        <v>12</v>
      </c>
      <c r="G11" s="19" t="s">
        <v>38</v>
      </c>
    </row>
    <row r="13" spans="1:19" s="33" customFormat="1">
      <c r="A13" s="24"/>
      <c r="B13" s="24"/>
      <c r="C13" s="28"/>
      <c r="D13" s="30"/>
      <c r="E13" s="19" t="s">
        <v>19</v>
      </c>
      <c r="F13" s="23">
        <v>42004</v>
      </c>
      <c r="G13" s="33" t="s">
        <v>17</v>
      </c>
    </row>
    <row r="14" spans="1:19" s="33" customFormat="1">
      <c r="A14" s="24"/>
      <c r="B14" s="24"/>
      <c r="C14" s="28"/>
      <c r="D14" s="30"/>
      <c r="E14" s="19" t="s">
        <v>42</v>
      </c>
      <c r="F14" s="23">
        <v>42369</v>
      </c>
      <c r="G14" s="33" t="s">
        <v>17</v>
      </c>
      <c r="S14" s="136"/>
    </row>
    <row r="15" spans="1:19" s="18" customFormat="1">
      <c r="A15" s="4"/>
      <c r="B15" s="4"/>
      <c r="C15" s="16"/>
      <c r="D15" s="17"/>
      <c r="E15" s="19" t="s">
        <v>5</v>
      </c>
      <c r="F15" s="40">
        <v>5</v>
      </c>
      <c r="G15" s="18" t="s">
        <v>6</v>
      </c>
    </row>
    <row r="17" spans="1:23">
      <c r="E17" s="37" t="s">
        <v>29</v>
      </c>
      <c r="F17" s="90">
        <v>2009</v>
      </c>
      <c r="G17" s="37" t="s">
        <v>28</v>
      </c>
    </row>
    <row r="18" spans="1:23">
      <c r="E18" s="37" t="s">
        <v>30</v>
      </c>
      <c r="F18" s="119">
        <v>12</v>
      </c>
      <c r="G18" s="37" t="s">
        <v>31</v>
      </c>
    </row>
    <row r="20" spans="1:23" s="265" customFormat="1">
      <c r="A20" s="262" t="s">
        <v>168</v>
      </c>
      <c r="B20" s="262"/>
      <c r="C20" s="263"/>
      <c r="D20" s="264"/>
      <c r="G20" s="266"/>
      <c r="H20" s="18"/>
    </row>
    <row r="22" spans="1:23">
      <c r="E22" s="19" t="s">
        <v>165</v>
      </c>
      <c r="F22" s="256" t="s">
        <v>48</v>
      </c>
      <c r="G22" s="19" t="s">
        <v>166</v>
      </c>
    </row>
    <row r="23" spans="1:23" s="260" customFormat="1">
      <c r="A23" s="257"/>
      <c r="B23" s="257"/>
      <c r="C23" s="258"/>
      <c r="D23" s="259"/>
      <c r="E23" s="259" t="s">
        <v>169</v>
      </c>
      <c r="F23" s="261">
        <v>1</v>
      </c>
      <c r="G23" s="259" t="s">
        <v>167</v>
      </c>
      <c r="H23" s="259"/>
      <c r="I23" s="259"/>
      <c r="J23" s="259"/>
    </row>
    <row r="24" spans="1:23">
      <c r="E24" s="19" t="s">
        <v>108</v>
      </c>
      <c r="F24" s="256">
        <v>365</v>
      </c>
      <c r="G24" s="19" t="s">
        <v>63</v>
      </c>
    </row>
    <row r="26" spans="1:23">
      <c r="A26" s="4" t="s">
        <v>272</v>
      </c>
    </row>
    <row r="28" spans="1:23">
      <c r="C28" s="16" t="s">
        <v>292</v>
      </c>
    </row>
    <row r="30" spans="1:23" s="265" customFormat="1">
      <c r="A30" s="295"/>
      <c r="B30" s="295"/>
      <c r="C30" s="296"/>
      <c r="D30" s="309"/>
      <c r="E30" s="302" t="s">
        <v>255</v>
      </c>
      <c r="F30" s="310">
        <f>1/2.5%</f>
        <v>40</v>
      </c>
      <c r="G30" s="302" t="s">
        <v>6</v>
      </c>
      <c r="H30" s="302"/>
      <c r="I30" s="302"/>
      <c r="J30" s="302"/>
      <c r="K30" s="302"/>
      <c r="L30" s="302"/>
      <c r="M30" s="302"/>
      <c r="N30" s="302"/>
      <c r="O30" s="302"/>
      <c r="P30" s="302"/>
      <c r="Q30" s="302"/>
      <c r="R30" s="302"/>
      <c r="S30" s="302"/>
      <c r="T30" s="302"/>
      <c r="U30" s="302"/>
      <c r="V30" s="302"/>
      <c r="W30" s="302"/>
    </row>
    <row r="31" spans="1:23">
      <c r="E31" s="347" t="s">
        <v>259</v>
      </c>
      <c r="F31" s="348">
        <v>3047148</v>
      </c>
      <c r="G31" s="19" t="str">
        <f>smu</f>
        <v>Kes '000'</v>
      </c>
    </row>
    <row r="32" spans="1:23">
      <c r="E32" s="354"/>
      <c r="F32" s="348"/>
    </row>
    <row r="33" spans="1:7">
      <c r="C33" s="16" t="s">
        <v>293</v>
      </c>
    </row>
    <row r="35" spans="1:7">
      <c r="E35" s="302" t="s">
        <v>277</v>
      </c>
      <c r="F35" s="310">
        <f>ROUND(1/11%,0)</f>
        <v>9</v>
      </c>
      <c r="G35" s="302" t="s">
        <v>6</v>
      </c>
    </row>
    <row r="36" spans="1:7">
      <c r="E36" s="347" t="s">
        <v>281</v>
      </c>
      <c r="F36" s="348">
        <v>5407045</v>
      </c>
      <c r="G36" s="19" t="str">
        <f>smu</f>
        <v>Kes '000'</v>
      </c>
    </row>
    <row r="38" spans="1:7">
      <c r="A38" s="4" t="s">
        <v>302</v>
      </c>
    </row>
    <row r="40" spans="1:7">
      <c r="E40" s="19" t="s">
        <v>299</v>
      </c>
      <c r="F40" s="348">
        <v>1035600</v>
      </c>
      <c r="G40" s="19" t="str">
        <f>smu</f>
        <v>Kes '000'</v>
      </c>
    </row>
    <row r="41" spans="1:7">
      <c r="E41" s="19" t="s">
        <v>309</v>
      </c>
      <c r="F41" s="283">
        <v>0.15</v>
      </c>
      <c r="G41" s="19" t="s">
        <v>179</v>
      </c>
    </row>
    <row r="43" spans="1:7">
      <c r="E43" s="19" t="s">
        <v>312</v>
      </c>
      <c r="F43" s="19">
        <v>0</v>
      </c>
      <c r="G43" s="19" t="str">
        <f>smu</f>
        <v>Kes '000'</v>
      </c>
    </row>
    <row r="44" spans="1:7" s="374" customFormat="1">
      <c r="A44" s="368"/>
      <c r="B44" s="368"/>
      <c r="C44" s="369"/>
      <c r="D44" s="373"/>
      <c r="E44" s="374" t="s">
        <v>319</v>
      </c>
      <c r="F44" s="374">
        <v>3000000</v>
      </c>
      <c r="G44" s="374" t="str">
        <f>smu</f>
        <v>Kes '000'</v>
      </c>
    </row>
    <row r="45" spans="1:7" s="374" customFormat="1">
      <c r="A45" s="368"/>
      <c r="B45" s="368"/>
      <c r="C45" s="369"/>
      <c r="D45" s="373"/>
      <c r="E45" s="374" t="s">
        <v>321</v>
      </c>
      <c r="F45" s="375">
        <v>0.15</v>
      </c>
      <c r="G45" s="374" t="s">
        <v>179</v>
      </c>
    </row>
    <row r="47" spans="1:7">
      <c r="A47" s="4" t="s">
        <v>344</v>
      </c>
    </row>
    <row r="49" spans="1:7">
      <c r="E49" s="19" t="s">
        <v>341</v>
      </c>
      <c r="F49" s="379">
        <v>1584155</v>
      </c>
      <c r="G49" s="19" t="str">
        <f>smu</f>
        <v>Kes '000'</v>
      </c>
    </row>
    <row r="51" spans="1:7">
      <c r="A51" s="4" t="s">
        <v>361</v>
      </c>
    </row>
    <row r="53" spans="1:7">
      <c r="E53" s="65" t="s">
        <v>358</v>
      </c>
      <c r="F53" s="348">
        <v>2200000</v>
      </c>
      <c r="G53" s="19" t="str">
        <f>smu</f>
        <v>Kes '000'</v>
      </c>
    </row>
    <row r="54" spans="1:7">
      <c r="E54" s="19" t="s">
        <v>211</v>
      </c>
      <c r="F54" s="348">
        <v>2021608</v>
      </c>
      <c r="G54" s="19" t="str">
        <f>smu</f>
        <v>Kes '000'</v>
      </c>
    </row>
    <row r="56" spans="1:7">
      <c r="A56" s="4" t="s">
        <v>396</v>
      </c>
    </row>
    <row r="58" spans="1:7" s="58" customFormat="1">
      <c r="A58" s="10"/>
      <c r="B58" s="4"/>
      <c r="C58" s="16"/>
      <c r="D58" s="61"/>
      <c r="E58" s="58" t="s">
        <v>394</v>
      </c>
      <c r="F58" s="390">
        <v>42287</v>
      </c>
      <c r="G58" s="58" t="s">
        <v>395</v>
      </c>
    </row>
    <row r="59" spans="1:7">
      <c r="E59" s="19" t="s">
        <v>401</v>
      </c>
      <c r="F59" s="389">
        <f xml:space="preserve"> 'Scenario &amp; Sensitivity'!J$18</f>
        <v>0.2</v>
      </c>
      <c r="G59" s="19" t="s">
        <v>179</v>
      </c>
    </row>
    <row r="60" spans="1:7">
      <c r="E60" s="19" t="s">
        <v>405</v>
      </c>
      <c r="F60" s="389">
        <f xml:space="preserve"> 'Scenario &amp; Sensitivity'!K$18</f>
        <v>0.05</v>
      </c>
      <c r="G60" s="19" t="s">
        <v>179</v>
      </c>
    </row>
    <row r="61" spans="1:7">
      <c r="E61" s="19" t="s">
        <v>414</v>
      </c>
      <c r="F61" s="348">
        <v>100000</v>
      </c>
      <c r="G61" s="397" t="s">
        <v>415</v>
      </c>
    </row>
  </sheetData>
  <phoneticPr fontId="5" type="noConversion"/>
  <conditionalFormatting sqref="D20">
    <cfRule type="cellIs" dxfId="56" priority="1" stopIfTrue="1" operator="equal">
      <formula>"X"</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FF99"/>
    <outlinePr summaryBelow="0" summaryRight="0"/>
  </sheetPr>
  <dimension ref="A1:BY68"/>
  <sheetViews>
    <sheetView defaultGridColor="0" colorId="22" zoomScale="80" workbookViewId="0">
      <pane xSplit="9" ySplit="5" topLeftCell="L6" activePane="bottomRight" state="frozen"/>
      <selection activeCell="F2" sqref="F2"/>
      <selection pane="topRight" activeCell="F2" sqref="F2"/>
      <selection pane="bottomLeft" activeCell="F2" sqref="F2"/>
      <selection pane="bottomRight" activeCell="P16" sqref="P16:U16"/>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55.7109375" style="58" bestFit="1" customWidth="1"/>
    <col min="6" max="6" width="12.7109375" style="58" customWidth="1"/>
    <col min="7" max="8" width="11.7109375" style="58" customWidth="1"/>
    <col min="9" max="9" width="2.7109375" style="58" customWidth="1"/>
    <col min="10"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InpS</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6" spans="1:77" s="87" customFormat="1">
      <c r="A6" s="84"/>
      <c r="B6" s="84"/>
      <c r="C6" s="85"/>
      <c r="D6" s="86"/>
      <c r="E6" s="82"/>
      <c r="F6" s="84"/>
      <c r="G6" s="84"/>
      <c r="H6" s="121"/>
    </row>
    <row r="7" spans="1:77" s="87" customFormat="1">
      <c r="A7" s="84"/>
      <c r="B7" s="84" t="s">
        <v>386</v>
      </c>
      <c r="C7" s="85"/>
      <c r="D7" s="86"/>
      <c r="E7" s="82"/>
      <c r="F7" s="84"/>
      <c r="G7" s="84"/>
      <c r="H7" s="121"/>
    </row>
    <row r="8" spans="1:77" s="87" customFormat="1">
      <c r="A8" s="84"/>
      <c r="B8" s="84"/>
      <c r="C8" s="85"/>
      <c r="D8" s="86"/>
      <c r="E8" s="82"/>
      <c r="F8" s="84"/>
      <c r="G8" s="84"/>
      <c r="H8" s="402">
        <f xml:space="preserve"> Valn!F$74</f>
        <v>596.18312819813843</v>
      </c>
    </row>
    <row r="9" spans="1:77" s="87" customFormat="1">
      <c r="A9" s="84"/>
      <c r="B9" s="84"/>
      <c r="C9" s="85"/>
      <c r="D9" s="86"/>
      <c r="E9" s="58" t="s">
        <v>417</v>
      </c>
      <c r="F9" s="399">
        <v>1</v>
      </c>
      <c r="G9" s="84"/>
      <c r="H9" s="121"/>
      <c r="P9" s="283">
        <v>0.12</v>
      </c>
      <c r="Q9" s="283">
        <v>0.12</v>
      </c>
      <c r="R9" s="283">
        <v>0.12</v>
      </c>
      <c r="S9" s="283">
        <v>0.12</v>
      </c>
      <c r="T9" s="283">
        <v>0.12</v>
      </c>
      <c r="U9" s="283">
        <v>0.12</v>
      </c>
    </row>
    <row r="10" spans="1:77" s="87" customFormat="1">
      <c r="A10" s="84"/>
      <c r="B10" s="84"/>
      <c r="C10" s="85"/>
      <c r="D10" s="86"/>
      <c r="E10" s="58" t="s">
        <v>418</v>
      </c>
      <c r="F10" s="399">
        <v>2</v>
      </c>
      <c r="G10" s="84"/>
      <c r="H10" s="121"/>
      <c r="P10" s="283">
        <v>0.2</v>
      </c>
      <c r="Q10" s="283">
        <v>0.2</v>
      </c>
      <c r="R10" s="283">
        <v>0.2</v>
      </c>
      <c r="S10" s="283">
        <v>0.2</v>
      </c>
      <c r="T10" s="283">
        <v>0.2</v>
      </c>
      <c r="U10" s="283">
        <v>0.2</v>
      </c>
    </row>
    <row r="11" spans="1:77" s="87" customFormat="1">
      <c r="A11" s="84"/>
      <c r="B11" s="84"/>
      <c r="C11" s="85"/>
      <c r="D11" s="86"/>
      <c r="E11" s="58" t="s">
        <v>419</v>
      </c>
      <c r="F11" s="399">
        <v>3</v>
      </c>
      <c r="G11" s="84"/>
      <c r="H11" s="121"/>
      <c r="P11" s="283">
        <v>0.05</v>
      </c>
      <c r="Q11" s="283">
        <v>0.05</v>
      </c>
      <c r="R11" s="283">
        <v>0.05</v>
      </c>
      <c r="S11" s="283">
        <v>0.05</v>
      </c>
      <c r="T11" s="283">
        <v>0.05</v>
      </c>
      <c r="U11" s="283">
        <v>0.05</v>
      </c>
    </row>
    <row r="12" spans="1:77" s="87" customFormat="1">
      <c r="A12" s="84"/>
      <c r="B12" s="84"/>
      <c r="C12" s="85"/>
      <c r="D12" s="86"/>
      <c r="E12" s="82"/>
      <c r="F12" s="84"/>
      <c r="G12" s="84"/>
      <c r="H12" s="121"/>
    </row>
    <row r="13" spans="1:77" s="87" customFormat="1">
      <c r="A13" s="84"/>
      <c r="B13" s="84"/>
      <c r="C13" s="85"/>
      <c r="D13" s="86"/>
      <c r="E13" s="58" t="str" cm="1">
        <f t="array" ref="E13">INDEX($E9:$E11,$F13)</f>
        <v>Forecast Local Sales Growth Rate-Best Case</v>
      </c>
      <c r="F13" s="445">
        <f xml:space="preserve"> 'Scenario &amp; Sensitivity'!G$18</f>
        <v>2</v>
      </c>
      <c r="G13" s="388"/>
      <c r="H13" s="282"/>
      <c r="I13" s="282"/>
      <c r="J13" s="357">
        <f>INDEX(J9:J11,$F13)</f>
        <v>0</v>
      </c>
      <c r="K13" s="357">
        <f t="shared" ref="K13:W13" si="0">INDEX(K9:K11,$F13)</f>
        <v>0</v>
      </c>
      <c r="L13" s="357">
        <f t="shared" si="0"/>
        <v>0</v>
      </c>
      <c r="M13" s="357">
        <f t="shared" si="0"/>
        <v>0</v>
      </c>
      <c r="N13" s="357">
        <f t="shared" si="0"/>
        <v>0</v>
      </c>
      <c r="O13" s="357">
        <f t="shared" si="0"/>
        <v>0</v>
      </c>
      <c r="P13" s="357">
        <f t="shared" si="0"/>
        <v>0.2</v>
      </c>
      <c r="Q13" s="357">
        <f t="shared" si="0"/>
        <v>0.2</v>
      </c>
      <c r="R13" s="357">
        <f t="shared" si="0"/>
        <v>0.2</v>
      </c>
      <c r="S13" s="357">
        <f t="shared" si="0"/>
        <v>0.2</v>
      </c>
      <c r="T13" s="357">
        <f t="shared" si="0"/>
        <v>0.2</v>
      </c>
      <c r="U13" s="357">
        <f t="shared" si="0"/>
        <v>0.2</v>
      </c>
      <c r="V13" s="357">
        <f t="shared" si="0"/>
        <v>0</v>
      </c>
      <c r="W13" s="357">
        <f t="shared" si="0"/>
        <v>0</v>
      </c>
    </row>
    <row r="14" spans="1:77" s="87" customFormat="1">
      <c r="A14" s="84"/>
      <c r="B14" s="84"/>
      <c r="C14" s="85"/>
      <c r="D14" s="86"/>
      <c r="E14" s="58"/>
      <c r="F14" s="282"/>
      <c r="G14" s="388"/>
      <c r="H14" s="282"/>
      <c r="I14" s="282"/>
      <c r="J14" s="282"/>
      <c r="K14" s="282"/>
      <c r="L14" s="282"/>
      <c r="M14" s="282"/>
      <c r="N14" s="282"/>
      <c r="O14" s="282"/>
      <c r="P14" s="401"/>
      <c r="Q14" s="401"/>
      <c r="R14" s="401"/>
      <c r="S14" s="401"/>
      <c r="T14" s="401"/>
      <c r="U14" s="401"/>
    </row>
    <row r="15" spans="1:77" s="87" customFormat="1">
      <c r="A15" s="84"/>
      <c r="B15" s="84"/>
      <c r="C15" s="85"/>
      <c r="D15" s="86"/>
      <c r="E15" s="58" t="s">
        <v>420</v>
      </c>
      <c r="F15" s="400">
        <v>1</v>
      </c>
      <c r="G15" s="388"/>
      <c r="H15" s="282"/>
      <c r="I15" s="282"/>
      <c r="J15" s="282"/>
      <c r="K15" s="282"/>
      <c r="L15" s="282"/>
      <c r="M15" s="282"/>
      <c r="N15" s="282"/>
      <c r="O15" s="282"/>
      <c r="P15" s="283">
        <v>0.1</v>
      </c>
      <c r="Q15" s="283">
        <v>0.1</v>
      </c>
      <c r="R15" s="283">
        <v>0.1</v>
      </c>
      <c r="S15" s="283">
        <v>0.1</v>
      </c>
      <c r="T15" s="283">
        <v>0.1</v>
      </c>
      <c r="U15" s="283">
        <v>0.1</v>
      </c>
    </row>
    <row r="16" spans="1:77" s="87" customFormat="1">
      <c r="A16" s="84"/>
      <c r="B16" s="84"/>
      <c r="C16" s="85"/>
      <c r="D16" s="86"/>
      <c r="E16" s="58" t="s">
        <v>421</v>
      </c>
      <c r="F16" s="400">
        <v>2</v>
      </c>
      <c r="G16" s="388"/>
      <c r="H16" s="282"/>
      <c r="I16" s="282"/>
      <c r="J16" s="282"/>
      <c r="K16" s="282"/>
      <c r="L16" s="282"/>
      <c r="M16" s="282"/>
      <c r="N16" s="282"/>
      <c r="O16" s="282"/>
      <c r="P16" s="283">
        <v>0.15</v>
      </c>
      <c r="Q16" s="283">
        <v>0.15</v>
      </c>
      <c r="R16" s="283">
        <v>0.15</v>
      </c>
      <c r="S16" s="283">
        <v>0.15</v>
      </c>
      <c r="T16" s="283">
        <v>0.15</v>
      </c>
      <c r="U16" s="283">
        <v>0.15</v>
      </c>
      <c r="V16" s="401"/>
      <c r="W16" s="401"/>
    </row>
    <row r="17" spans="1:23" s="87" customFormat="1">
      <c r="A17" s="84"/>
      <c r="B17" s="84"/>
      <c r="C17" s="85"/>
      <c r="D17" s="86"/>
      <c r="E17" s="58" t="s">
        <v>422</v>
      </c>
      <c r="F17" s="400">
        <v>3</v>
      </c>
      <c r="G17" s="388"/>
      <c r="H17" s="282"/>
      <c r="I17" s="282"/>
      <c r="J17" s="282"/>
      <c r="K17" s="282"/>
      <c r="L17" s="282"/>
      <c r="M17" s="282"/>
      <c r="N17" s="282"/>
      <c r="O17" s="282"/>
      <c r="P17" s="283">
        <v>0.05</v>
      </c>
      <c r="Q17" s="283">
        <v>0.05</v>
      </c>
      <c r="R17" s="283">
        <v>0.05</v>
      </c>
      <c r="S17" s="283">
        <v>0.05</v>
      </c>
      <c r="T17" s="283">
        <v>0.05</v>
      </c>
      <c r="U17" s="283">
        <v>0.05</v>
      </c>
      <c r="V17" s="401"/>
      <c r="W17" s="401"/>
    </row>
    <row r="18" spans="1:23" s="87" customFormat="1">
      <c r="A18" s="84"/>
      <c r="B18" s="84"/>
      <c r="C18" s="85"/>
      <c r="D18" s="86"/>
      <c r="E18" s="58"/>
      <c r="F18" s="282"/>
      <c r="G18" s="388"/>
      <c r="H18" s="282"/>
      <c r="I18" s="282"/>
      <c r="J18" s="282"/>
      <c r="K18" s="282"/>
      <c r="L18" s="282"/>
      <c r="M18" s="282"/>
      <c r="N18" s="282"/>
      <c r="O18" s="282"/>
      <c r="P18" s="283"/>
      <c r="Q18" s="283"/>
      <c r="R18" s="283"/>
      <c r="S18" s="283"/>
      <c r="T18" s="283"/>
      <c r="U18" s="283"/>
    </row>
    <row r="19" spans="1:23" s="87" customFormat="1">
      <c r="A19" s="84"/>
      <c r="B19" s="84"/>
      <c r="C19" s="85"/>
      <c r="D19" s="86"/>
      <c r="E19" s="58" t="str" cm="1">
        <f t="array" ref="E19">INDEX($E15:$E17,$F19)</f>
        <v>Forecast Exports sales Growth Rate-Best Case</v>
      </c>
      <c r="F19" s="445">
        <f xml:space="preserve"> 'Scenario &amp; Sensitivity'!H$18</f>
        <v>2</v>
      </c>
      <c r="G19" s="388"/>
      <c r="H19" s="282"/>
      <c r="I19" s="282"/>
      <c r="J19" s="357">
        <f>INDEX(J15:J17,$F19)</f>
        <v>0</v>
      </c>
      <c r="K19" s="357">
        <f t="shared" ref="K19:W19" si="1">INDEX(K15:K17,$F19)</f>
        <v>0</v>
      </c>
      <c r="L19" s="357">
        <f t="shared" si="1"/>
        <v>0</v>
      </c>
      <c r="M19" s="357">
        <f t="shared" si="1"/>
        <v>0</v>
      </c>
      <c r="N19" s="357">
        <f t="shared" si="1"/>
        <v>0</v>
      </c>
      <c r="O19" s="357">
        <f t="shared" si="1"/>
        <v>0</v>
      </c>
      <c r="P19" s="357">
        <f t="shared" si="1"/>
        <v>0.15</v>
      </c>
      <c r="Q19" s="357">
        <f t="shared" si="1"/>
        <v>0.15</v>
      </c>
      <c r="R19" s="357">
        <f t="shared" si="1"/>
        <v>0.15</v>
      </c>
      <c r="S19" s="357">
        <f t="shared" si="1"/>
        <v>0.15</v>
      </c>
      <c r="T19" s="357">
        <f t="shared" si="1"/>
        <v>0.15</v>
      </c>
      <c r="U19" s="357">
        <f t="shared" si="1"/>
        <v>0.15</v>
      </c>
      <c r="V19" s="357">
        <f t="shared" si="1"/>
        <v>0</v>
      </c>
      <c r="W19" s="357">
        <f t="shared" si="1"/>
        <v>0</v>
      </c>
    </row>
    <row r="20" spans="1:23" s="87" customFormat="1">
      <c r="A20" s="84"/>
      <c r="B20" s="84"/>
      <c r="C20" s="85"/>
      <c r="D20" s="86"/>
      <c r="E20" s="58"/>
      <c r="F20" s="4"/>
      <c r="G20" s="388"/>
      <c r="H20" s="282"/>
      <c r="I20" s="282"/>
      <c r="J20" s="357"/>
      <c r="K20" s="357"/>
      <c r="L20" s="357"/>
      <c r="M20" s="357"/>
      <c r="N20" s="357"/>
      <c r="O20" s="357"/>
      <c r="P20" s="357"/>
      <c r="Q20" s="357"/>
      <c r="R20" s="357"/>
      <c r="S20" s="357"/>
      <c r="T20" s="357"/>
      <c r="U20" s="357"/>
      <c r="V20" s="357"/>
      <c r="W20" s="357"/>
    </row>
    <row r="21" spans="1:23" s="87" customFormat="1">
      <c r="A21" s="84"/>
      <c r="B21" s="84"/>
      <c r="C21" s="85" t="s">
        <v>426</v>
      </c>
      <c r="D21" s="86"/>
      <c r="E21" s="58"/>
      <c r="F21" s="4"/>
      <c r="G21" s="388"/>
      <c r="H21" s="282"/>
      <c r="I21" s="282"/>
      <c r="J21" s="357"/>
      <c r="K21" s="357"/>
      <c r="L21" s="357"/>
      <c r="M21" s="357"/>
      <c r="N21" s="357"/>
      <c r="O21" s="357"/>
      <c r="P21" s="357"/>
      <c r="Q21" s="357"/>
      <c r="R21" s="357"/>
      <c r="S21" s="357"/>
      <c r="T21" s="357"/>
      <c r="U21" s="357"/>
      <c r="V21" s="357"/>
      <c r="W21" s="357"/>
    </row>
    <row r="22" spans="1:23" s="87" customFormat="1">
      <c r="A22" s="84"/>
      <c r="B22" s="84"/>
      <c r="C22" s="85"/>
      <c r="D22" s="86"/>
      <c r="E22" s="58"/>
      <c r="F22" s="4"/>
      <c r="G22" s="388"/>
      <c r="H22" s="282"/>
      <c r="I22" s="282"/>
      <c r="J22" s="357"/>
      <c r="K22" s="357"/>
      <c r="L22" s="357"/>
      <c r="M22" s="357"/>
      <c r="N22" s="357"/>
      <c r="O22" s="357"/>
      <c r="P22" s="357"/>
      <c r="Q22" s="357"/>
      <c r="R22" s="357"/>
      <c r="S22" s="357"/>
      <c r="T22" s="357"/>
      <c r="U22" s="357"/>
      <c r="V22" s="357"/>
      <c r="W22" s="357"/>
    </row>
    <row r="23" spans="1:23">
      <c r="E23" s="58" t="s">
        <v>239</v>
      </c>
      <c r="P23" s="289">
        <v>1.6E-2</v>
      </c>
      <c r="Q23" s="289">
        <v>1.6E-2</v>
      </c>
      <c r="R23" s="289">
        <v>1.6E-2</v>
      </c>
      <c r="S23" s="289">
        <v>1.6E-2</v>
      </c>
      <c r="T23" s="289">
        <v>1.6E-2</v>
      </c>
      <c r="U23" s="289">
        <v>1.6E-2</v>
      </c>
      <c r="V23" s="290"/>
      <c r="W23" s="290"/>
    </row>
    <row r="24" spans="1:23">
      <c r="P24" s="87"/>
      <c r="Q24" s="87"/>
      <c r="R24" s="87"/>
      <c r="S24" s="87"/>
      <c r="T24" s="87"/>
      <c r="U24" s="87"/>
      <c r="V24" s="87"/>
      <c r="W24" s="87"/>
    </row>
    <row r="25" spans="1:23" s="87" customFormat="1">
      <c r="A25" s="84"/>
      <c r="B25" s="84" t="s">
        <v>387</v>
      </c>
      <c r="C25" s="85"/>
      <c r="D25" s="86"/>
      <c r="E25" s="82"/>
      <c r="F25" s="84"/>
      <c r="G25" s="84"/>
      <c r="H25" s="121"/>
    </row>
    <row r="26" spans="1:23" s="87" customFormat="1">
      <c r="A26" s="84"/>
      <c r="B26" s="84"/>
      <c r="C26" s="85"/>
      <c r="D26" s="86"/>
      <c r="E26" s="82"/>
      <c r="F26" s="84"/>
      <c r="G26" s="84"/>
      <c r="H26" s="121"/>
    </row>
    <row r="27" spans="1:23" s="87" customFormat="1">
      <c r="A27" s="84"/>
      <c r="B27" s="84"/>
      <c r="C27" s="85"/>
      <c r="D27" s="86"/>
      <c r="E27" s="58" t="s">
        <v>423</v>
      </c>
      <c r="F27" s="399">
        <v>1</v>
      </c>
      <c r="G27" s="84"/>
      <c r="H27" s="121"/>
      <c r="P27" s="289">
        <v>0.53</v>
      </c>
      <c r="Q27" s="289">
        <v>0.53</v>
      </c>
      <c r="R27" s="289">
        <v>0.53</v>
      </c>
      <c r="S27" s="289">
        <v>0.53</v>
      </c>
      <c r="T27" s="289">
        <v>0.53</v>
      </c>
      <c r="U27" s="289">
        <v>0.53</v>
      </c>
    </row>
    <row r="28" spans="1:23" s="87" customFormat="1">
      <c r="A28" s="84"/>
      <c r="B28" s="84"/>
      <c r="C28" s="85"/>
      <c r="D28" s="86"/>
      <c r="E28" s="58" t="s">
        <v>424</v>
      </c>
      <c r="F28" s="399">
        <v>2</v>
      </c>
      <c r="G28" s="84"/>
      <c r="H28" s="121"/>
      <c r="P28" s="289">
        <v>0.5</v>
      </c>
      <c r="Q28" s="289">
        <v>0.5</v>
      </c>
      <c r="R28" s="289">
        <v>0.5</v>
      </c>
      <c r="S28" s="289">
        <v>0.5</v>
      </c>
      <c r="T28" s="289">
        <v>0.5</v>
      </c>
      <c r="U28" s="289">
        <v>0.5</v>
      </c>
    </row>
    <row r="29" spans="1:23" s="87" customFormat="1">
      <c r="A29" s="84"/>
      <c r="B29" s="84"/>
      <c r="C29" s="85"/>
      <c r="D29" s="86"/>
      <c r="E29" s="58" t="s">
        <v>425</v>
      </c>
      <c r="F29" s="399">
        <v>3</v>
      </c>
      <c r="G29" s="84"/>
      <c r="H29" s="121"/>
      <c r="P29" s="289">
        <v>0.56999999999999995</v>
      </c>
      <c r="Q29" s="289">
        <v>0.56999999999999995</v>
      </c>
      <c r="R29" s="289">
        <v>0.56999999999999995</v>
      </c>
      <c r="S29" s="289">
        <v>0.56999999999999995</v>
      </c>
      <c r="T29" s="289">
        <v>0.56999999999999995</v>
      </c>
      <c r="U29" s="289">
        <v>0.56999999999999995</v>
      </c>
    </row>
    <row r="30" spans="1:23" s="87" customFormat="1">
      <c r="A30" s="84"/>
      <c r="B30" s="84"/>
      <c r="C30" s="85"/>
      <c r="D30" s="86"/>
      <c r="E30" s="58"/>
      <c r="F30" s="84"/>
      <c r="G30" s="84"/>
      <c r="H30" s="121"/>
    </row>
    <row r="31" spans="1:23">
      <c r="E31" s="58" t="str" cm="1">
        <f t="array" ref="E31">INDEX($E27:$E29,$F31)</f>
        <v>Forecast cost of sales margin -Best Case</v>
      </c>
      <c r="F31" s="445">
        <f xml:space="preserve"> 'Scenario &amp; Sensitivity'!I$18</f>
        <v>2</v>
      </c>
      <c r="J31" s="357">
        <f t="shared" ref="J31:W31" si="2">INDEX(J27:J29,$F31)</f>
        <v>0</v>
      </c>
      <c r="K31" s="357">
        <f t="shared" si="2"/>
        <v>0</v>
      </c>
      <c r="L31" s="357">
        <f t="shared" si="2"/>
        <v>0</v>
      </c>
      <c r="M31" s="357">
        <f t="shared" si="2"/>
        <v>0</v>
      </c>
      <c r="N31" s="357">
        <f t="shared" si="2"/>
        <v>0</v>
      </c>
      <c r="O31" s="357">
        <f t="shared" si="2"/>
        <v>0</v>
      </c>
      <c r="P31" s="357">
        <f t="shared" si="2"/>
        <v>0.5</v>
      </c>
      <c r="Q31" s="357">
        <f t="shared" si="2"/>
        <v>0.5</v>
      </c>
      <c r="R31" s="357">
        <f t="shared" si="2"/>
        <v>0.5</v>
      </c>
      <c r="S31" s="357">
        <f t="shared" si="2"/>
        <v>0.5</v>
      </c>
      <c r="T31" s="357">
        <f t="shared" si="2"/>
        <v>0.5</v>
      </c>
      <c r="U31" s="357">
        <f t="shared" si="2"/>
        <v>0.5</v>
      </c>
      <c r="V31" s="357">
        <f t="shared" si="2"/>
        <v>0</v>
      </c>
      <c r="W31" s="357">
        <f t="shared" si="2"/>
        <v>0</v>
      </c>
    </row>
    <row r="32" spans="1:23">
      <c r="F32" s="4"/>
      <c r="J32" s="357"/>
      <c r="K32" s="357"/>
      <c r="L32" s="357"/>
      <c r="M32" s="357"/>
      <c r="N32" s="357"/>
      <c r="O32" s="357"/>
      <c r="P32" s="357"/>
      <c r="Q32" s="357"/>
      <c r="R32" s="357"/>
      <c r="S32" s="357"/>
      <c r="T32" s="357"/>
      <c r="U32" s="357"/>
      <c r="V32" s="357"/>
      <c r="W32" s="357"/>
    </row>
    <row r="33" spans="1:23">
      <c r="C33" s="16" t="s">
        <v>427</v>
      </c>
      <c r="F33" s="4"/>
      <c r="J33" s="357"/>
      <c r="K33" s="357"/>
      <c r="L33" s="357"/>
      <c r="M33" s="357"/>
      <c r="N33" s="357"/>
      <c r="O33" s="357"/>
      <c r="P33" s="357"/>
      <c r="Q33" s="357"/>
      <c r="R33" s="357"/>
      <c r="S33" s="357"/>
      <c r="T33" s="357"/>
      <c r="U33" s="357"/>
      <c r="V33" s="357"/>
      <c r="W33" s="357"/>
    </row>
    <row r="34" spans="1:23">
      <c r="F34" s="4"/>
      <c r="J34" s="357"/>
      <c r="K34" s="357"/>
      <c r="L34" s="357"/>
      <c r="M34" s="357"/>
      <c r="N34" s="357"/>
      <c r="O34" s="357"/>
      <c r="P34" s="357"/>
      <c r="Q34" s="357"/>
      <c r="R34" s="357"/>
      <c r="S34" s="357"/>
      <c r="T34" s="357"/>
      <c r="U34" s="357"/>
      <c r="V34" s="357"/>
      <c r="W34" s="357"/>
    </row>
    <row r="35" spans="1:23">
      <c r="E35" s="58" t="s">
        <v>242</v>
      </c>
      <c r="G35" s="58" t="s">
        <v>179</v>
      </c>
      <c r="P35" s="289">
        <v>8.5000000000000006E-2</v>
      </c>
      <c r="Q35" s="289">
        <v>8.5000000000000006E-2</v>
      </c>
      <c r="R35" s="289">
        <v>8.5000000000000006E-2</v>
      </c>
      <c r="S35" s="289">
        <v>8.5000000000000006E-2</v>
      </c>
      <c r="T35" s="289">
        <v>8.5000000000000006E-2</v>
      </c>
      <c r="U35" s="289">
        <v>8.5000000000000006E-2</v>
      </c>
      <c r="V35" s="290"/>
      <c r="W35" s="290"/>
    </row>
    <row r="36" spans="1:23">
      <c r="E36" s="58" t="s">
        <v>246</v>
      </c>
      <c r="G36" s="58" t="s">
        <v>179</v>
      </c>
      <c r="P36" s="289">
        <v>7.0000000000000007E-2</v>
      </c>
      <c r="Q36" s="289">
        <v>7.0000000000000007E-2</v>
      </c>
      <c r="R36" s="289">
        <v>7.0000000000000007E-2</v>
      </c>
      <c r="S36" s="289">
        <v>7.0000000000000007E-2</v>
      </c>
      <c r="T36" s="289">
        <v>7.0000000000000007E-2</v>
      </c>
      <c r="U36" s="289">
        <v>7.0000000000000007E-2</v>
      </c>
      <c r="V36" s="290"/>
      <c r="W36" s="290"/>
    </row>
    <row r="37" spans="1:23" s="87" customFormat="1">
      <c r="A37" s="84"/>
      <c r="B37" s="84"/>
      <c r="C37" s="85"/>
      <c r="D37" s="86"/>
      <c r="E37" s="82"/>
      <c r="F37" s="84"/>
      <c r="G37" s="84"/>
      <c r="H37" s="121"/>
    </row>
    <row r="38" spans="1:23" s="87" customFormat="1">
      <c r="A38" s="84"/>
      <c r="B38" s="84" t="s">
        <v>388</v>
      </c>
      <c r="C38" s="85"/>
      <c r="D38" s="86"/>
      <c r="E38" s="82"/>
      <c r="F38" s="84"/>
      <c r="G38" s="84"/>
      <c r="H38" s="121"/>
    </row>
    <row r="39" spans="1:23" s="87" customFormat="1">
      <c r="A39" s="84"/>
      <c r="B39" s="84"/>
      <c r="C39" s="85"/>
      <c r="D39" s="86"/>
      <c r="E39" s="82"/>
      <c r="F39" s="84"/>
      <c r="G39" s="84"/>
      <c r="H39" s="121"/>
    </row>
    <row r="40" spans="1:23">
      <c r="E40" s="58" t="s">
        <v>334</v>
      </c>
      <c r="G40" s="58" t="s">
        <v>179</v>
      </c>
      <c r="P40" s="289">
        <v>0.314</v>
      </c>
      <c r="Q40" s="289">
        <v>0.314</v>
      </c>
      <c r="R40" s="289">
        <v>0.314</v>
      </c>
      <c r="S40" s="289">
        <v>0.314</v>
      </c>
      <c r="T40" s="289">
        <v>0.314</v>
      </c>
      <c r="U40" s="289">
        <v>0.314</v>
      </c>
      <c r="V40" s="290"/>
      <c r="W40" s="290"/>
    </row>
    <row r="41" spans="1:23">
      <c r="E41" s="58" t="s">
        <v>338</v>
      </c>
      <c r="G41" s="58" t="s">
        <v>179</v>
      </c>
      <c r="P41" s="289">
        <v>0.3</v>
      </c>
      <c r="Q41" s="289">
        <v>0.3</v>
      </c>
      <c r="R41" s="289">
        <v>0.3</v>
      </c>
      <c r="S41" s="289">
        <v>0.3</v>
      </c>
      <c r="T41" s="289">
        <v>0.3</v>
      </c>
      <c r="U41" s="289">
        <v>0.3</v>
      </c>
      <c r="V41" s="290"/>
      <c r="W41" s="290"/>
    </row>
    <row r="42" spans="1:23">
      <c r="P42" s="289"/>
      <c r="Q42" s="289"/>
      <c r="R42" s="289"/>
      <c r="S42" s="289"/>
      <c r="T42" s="289"/>
      <c r="U42" s="289"/>
      <c r="V42" s="290"/>
      <c r="W42" s="290"/>
    </row>
    <row r="43" spans="1:23">
      <c r="B43" s="4" t="s">
        <v>361</v>
      </c>
      <c r="P43" s="289"/>
      <c r="Q43" s="289"/>
      <c r="R43" s="289"/>
      <c r="S43" s="289"/>
      <c r="T43" s="289"/>
      <c r="U43" s="289"/>
      <c r="V43" s="290"/>
      <c r="W43" s="290"/>
    </row>
    <row r="44" spans="1:23">
      <c r="P44" s="289"/>
      <c r="Q44" s="289"/>
      <c r="R44" s="289"/>
      <c r="S44" s="289"/>
      <c r="T44" s="289"/>
      <c r="U44" s="289"/>
      <c r="V44" s="290"/>
      <c r="W44" s="290"/>
    </row>
    <row r="45" spans="1:23">
      <c r="E45" s="58" t="s">
        <v>348</v>
      </c>
      <c r="F45" s="2">
        <f>AVERAGE(P45:U45)</f>
        <v>0.9</v>
      </c>
      <c r="G45" s="58" t="s">
        <v>179</v>
      </c>
      <c r="P45" s="289">
        <v>0.9</v>
      </c>
      <c r="Q45" s="289">
        <v>0.9</v>
      </c>
      <c r="R45" s="289">
        <v>0.9</v>
      </c>
      <c r="S45" s="289">
        <v>0.9</v>
      </c>
      <c r="T45" s="289">
        <v>0.9</v>
      </c>
      <c r="U45" s="289">
        <v>0.9</v>
      </c>
      <c r="V45" s="290"/>
      <c r="W45" s="290"/>
    </row>
    <row r="46" spans="1:23">
      <c r="E46" s="58" t="s">
        <v>351</v>
      </c>
      <c r="F46" s="2">
        <f>AVERAGE(P46:U46)</f>
        <v>0.15</v>
      </c>
      <c r="G46" s="58" t="s">
        <v>179</v>
      </c>
      <c r="P46" s="289">
        <v>0.15</v>
      </c>
      <c r="Q46" s="289">
        <v>0.15</v>
      </c>
      <c r="R46" s="289">
        <v>0.15</v>
      </c>
      <c r="S46" s="289">
        <v>0.15</v>
      </c>
      <c r="T46" s="289">
        <v>0.15</v>
      </c>
      <c r="U46" s="289">
        <v>0.15</v>
      </c>
      <c r="V46" s="290"/>
      <c r="W46" s="290"/>
    </row>
    <row r="47" spans="1:23">
      <c r="F47" s="2"/>
      <c r="P47" s="289"/>
      <c r="Q47" s="289"/>
      <c r="R47" s="289"/>
      <c r="S47" s="289"/>
      <c r="T47" s="289"/>
      <c r="U47" s="289"/>
      <c r="V47" s="290"/>
      <c r="W47" s="290"/>
    </row>
    <row r="48" spans="1:23">
      <c r="B48" s="4" t="s">
        <v>389</v>
      </c>
      <c r="F48" s="2"/>
      <c r="P48" s="289"/>
      <c r="Q48" s="289"/>
      <c r="R48" s="289"/>
      <c r="S48" s="289"/>
      <c r="T48" s="289"/>
      <c r="U48" s="289"/>
      <c r="V48" s="290"/>
      <c r="W48" s="290"/>
    </row>
    <row r="49" spans="1:23">
      <c r="F49" s="2"/>
      <c r="P49" s="289"/>
      <c r="Q49" s="289"/>
      <c r="R49" s="289"/>
      <c r="S49" s="289"/>
      <c r="T49" s="289"/>
      <c r="U49" s="289"/>
      <c r="V49" s="290"/>
      <c r="W49" s="290"/>
    </row>
    <row r="50" spans="1:23">
      <c r="E50" s="58" t="s">
        <v>369</v>
      </c>
      <c r="G50" s="58" t="s">
        <v>370</v>
      </c>
      <c r="P50" s="342">
        <v>147</v>
      </c>
      <c r="Q50" s="342">
        <v>147</v>
      </c>
      <c r="R50" s="342">
        <v>147</v>
      </c>
      <c r="S50" s="342">
        <v>147</v>
      </c>
      <c r="T50" s="342">
        <v>147</v>
      </c>
      <c r="U50" s="342">
        <v>147</v>
      </c>
      <c r="V50" s="342">
        <v>147</v>
      </c>
      <c r="W50" s="342">
        <v>147</v>
      </c>
    </row>
    <row r="51" spans="1:23">
      <c r="E51" s="58" t="s">
        <v>375</v>
      </c>
      <c r="G51" s="58" t="s">
        <v>370</v>
      </c>
      <c r="P51" s="342">
        <v>53</v>
      </c>
      <c r="Q51" s="342">
        <v>53</v>
      </c>
      <c r="R51" s="342">
        <v>53</v>
      </c>
      <c r="S51" s="342">
        <v>53</v>
      </c>
      <c r="T51" s="342">
        <v>53</v>
      </c>
      <c r="U51" s="342">
        <v>53</v>
      </c>
      <c r="V51" s="342">
        <v>53</v>
      </c>
      <c r="W51" s="342">
        <v>53</v>
      </c>
    </row>
    <row r="52" spans="1:23">
      <c r="E52" s="58" t="s">
        <v>380</v>
      </c>
      <c r="G52" s="58" t="s">
        <v>370</v>
      </c>
      <c r="P52" s="342">
        <v>200</v>
      </c>
      <c r="Q52" s="342">
        <v>200</v>
      </c>
      <c r="R52" s="342">
        <v>200</v>
      </c>
      <c r="S52" s="342">
        <v>200</v>
      </c>
      <c r="T52" s="342">
        <v>200</v>
      </c>
      <c r="U52" s="342">
        <v>200</v>
      </c>
      <c r="V52" s="342">
        <v>200</v>
      </c>
      <c r="W52" s="342">
        <v>200</v>
      </c>
    </row>
    <row r="53" spans="1:23" s="87" customFormat="1">
      <c r="A53" s="84"/>
      <c r="B53" s="84"/>
      <c r="C53" s="85"/>
      <c r="D53" s="86"/>
      <c r="E53" s="82"/>
      <c r="F53" s="84"/>
      <c r="G53" s="84"/>
      <c r="H53" s="121"/>
    </row>
    <row r="54" spans="1:23" s="134" customFormat="1">
      <c r="A54" s="130"/>
      <c r="B54" s="131"/>
      <c r="C54" s="132"/>
      <c r="D54" s="133"/>
    </row>
    <row r="55" spans="1:23">
      <c r="B55" s="4" t="s">
        <v>270</v>
      </c>
    </row>
    <row r="57" spans="1:23">
      <c r="E57" s="58" t="s">
        <v>271</v>
      </c>
      <c r="G57" s="58" t="str">
        <f>smu</f>
        <v>Kes '000'</v>
      </c>
      <c r="H57" s="58">
        <f xml:space="preserve"> SUM(J57:W57)</f>
        <v>2000000</v>
      </c>
      <c r="J57" s="353"/>
      <c r="S57" s="342">
        <v>2000000</v>
      </c>
    </row>
    <row r="58" spans="1:23">
      <c r="E58" s="302" t="s">
        <v>275</v>
      </c>
      <c r="G58" s="58" t="str">
        <f>smu</f>
        <v>Kes '000'</v>
      </c>
      <c r="H58" s="58">
        <f xml:space="preserve"> SUM(J58:W58)</f>
        <v>2500000</v>
      </c>
      <c r="P58" s="342">
        <v>1000000</v>
      </c>
      <c r="Q58" s="342">
        <v>500000</v>
      </c>
      <c r="R58" s="342">
        <v>500000</v>
      </c>
      <c r="S58" s="342">
        <v>500000</v>
      </c>
    </row>
    <row r="59" spans="1:23">
      <c r="E59" s="58" t="s">
        <v>315</v>
      </c>
      <c r="G59" s="58" t="str">
        <f>smu</f>
        <v>Kes '000'</v>
      </c>
      <c r="H59" s="58">
        <f xml:space="preserve"> SUM(J59:W59)</f>
        <v>4500000</v>
      </c>
      <c r="J59" s="58">
        <f>SUM(J57:J58)</f>
        <v>0</v>
      </c>
      <c r="K59" s="58">
        <f t="shared" ref="K59:W59" si="3">SUM(K57:K58)</f>
        <v>0</v>
      </c>
      <c r="L59" s="58">
        <f t="shared" si="3"/>
        <v>0</v>
      </c>
      <c r="M59" s="58">
        <f t="shared" si="3"/>
        <v>0</v>
      </c>
      <c r="N59" s="58">
        <f t="shared" si="3"/>
        <v>0</v>
      </c>
      <c r="O59" s="58">
        <f t="shared" si="3"/>
        <v>0</v>
      </c>
      <c r="P59" s="58">
        <f t="shared" si="3"/>
        <v>1000000</v>
      </c>
      <c r="Q59" s="58">
        <f t="shared" si="3"/>
        <v>500000</v>
      </c>
      <c r="R59" s="58">
        <f t="shared" si="3"/>
        <v>500000</v>
      </c>
      <c r="S59" s="58">
        <f t="shared" si="3"/>
        <v>2500000</v>
      </c>
      <c r="T59" s="58">
        <f t="shared" si="3"/>
        <v>0</v>
      </c>
      <c r="U59" s="58">
        <f t="shared" si="3"/>
        <v>0</v>
      </c>
      <c r="V59" s="58">
        <f t="shared" si="3"/>
        <v>0</v>
      </c>
      <c r="W59" s="58">
        <f t="shared" si="3"/>
        <v>0</v>
      </c>
    </row>
    <row r="60" spans="1:23">
      <c r="G60" s="1"/>
    </row>
    <row r="61" spans="1:23">
      <c r="A61" s="10" t="s">
        <v>304</v>
      </c>
    </row>
    <row r="63" spans="1:23">
      <c r="E63" s="58" t="s">
        <v>305</v>
      </c>
      <c r="G63" s="58" t="s">
        <v>179</v>
      </c>
      <c r="H63" s="2">
        <f xml:space="preserve"> SUM(J63:W63)</f>
        <v>1</v>
      </c>
      <c r="P63" s="2">
        <v>0.5</v>
      </c>
      <c r="Q63" s="2">
        <v>0.5</v>
      </c>
    </row>
    <row r="66" spans="1:21" s="371" customFormat="1">
      <c r="A66" s="368"/>
      <c r="B66" s="368"/>
      <c r="C66" s="369"/>
      <c r="D66" s="370"/>
      <c r="E66" s="371" t="s">
        <v>316</v>
      </c>
      <c r="G66" s="371" t="str">
        <f>smu</f>
        <v>Kes '000'</v>
      </c>
      <c r="H66" s="371">
        <f xml:space="preserve"> SUM(J66:W66)</f>
        <v>3000000</v>
      </c>
      <c r="P66" s="371">
        <v>1000000</v>
      </c>
      <c r="Q66" s="371">
        <v>500000</v>
      </c>
      <c r="R66" s="371">
        <v>500000</v>
      </c>
      <c r="S66" s="371">
        <v>1000000</v>
      </c>
    </row>
    <row r="67" spans="1:21" s="371" customFormat="1">
      <c r="A67" s="368"/>
      <c r="B67" s="368"/>
      <c r="C67" s="369"/>
      <c r="D67" s="370"/>
      <c r="E67" s="371" t="s">
        <v>317</v>
      </c>
      <c r="G67" s="371" t="s">
        <v>179</v>
      </c>
      <c r="H67" s="372">
        <f xml:space="preserve"> SUM(J67:W67)</f>
        <v>0.4</v>
      </c>
      <c r="T67" s="372">
        <v>0.2</v>
      </c>
      <c r="U67" s="372">
        <v>0.2</v>
      </c>
    </row>
    <row r="68" spans="1:21">
      <c r="F68" s="3"/>
    </row>
  </sheetData>
  <conditionalFormatting sqref="F2">
    <cfRule type="cellIs" dxfId="55" priority="1" stopIfTrue="1" operator="notEqual">
      <formula>0</formula>
    </cfRule>
    <cfRule type="cellIs" dxfId="54" priority="2" stopIfTrue="1" operator="equal">
      <formula>""</formula>
    </cfRule>
  </conditionalFormatting>
  <conditionalFormatting sqref="J3:BY3">
    <cfRule type="cellIs" dxfId="53" priority="5" stopIfTrue="1" operator="equal">
      <formula>"Pre-forecast"</formula>
    </cfRule>
    <cfRule type="cellIs" dxfId="52" priority="6" stopIfTrue="1" operator="equal">
      <formula>"Forecast"</formula>
    </cfRule>
  </conditionalFormatting>
  <dataValidations count="2">
    <dataValidation type="list" allowBlank="1" showInputMessage="1" showErrorMessage="1" sqref="E20:E22" xr:uid="{00000000-0002-0000-0400-000001000000}">
      <formula1>$E$15:$E$17</formula1>
    </dataValidation>
    <dataValidation type="list" allowBlank="1" showInputMessage="1" showErrorMessage="1" sqref="E32:E34" xr:uid="{00000000-0002-0000-0400-000002000000}">
      <formula1>$E$27:$E$29</formula1>
    </dataValidation>
  </dataValidations>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99"/>
    <outlinePr summaryBelow="0" summaryRight="0"/>
  </sheetPr>
  <dimension ref="A1:BY98"/>
  <sheetViews>
    <sheetView defaultGridColor="0" colorId="22" zoomScale="80" zoomScaleNormal="80" workbookViewId="0">
      <pane xSplit="9" ySplit="5" topLeftCell="J6" activePane="bottomRight" state="frozen"/>
      <selection activeCell="F2" sqref="F2"/>
      <selection pane="topRight" activeCell="F2" sqref="F2"/>
      <selection pane="bottomLeft" activeCell="F2" sqref="F2"/>
      <selection pane="bottomRight" activeCell="J29" sqref="J29"/>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37.28515625" style="58" customWidth="1"/>
    <col min="6" max="6" width="12.7109375" style="58" customWidth="1"/>
    <col min="7" max="7" width="11.7109375" style="58" customWidth="1"/>
    <col min="8" max="8" width="12.28515625" style="58" bestFit="1" customWidth="1"/>
    <col min="9" max="9" width="2.7109375" style="58" customWidth="1"/>
    <col min="10" max="12" width="11.7109375" style="58" customWidth="1"/>
    <col min="13" max="14" width="12.7109375" style="58" bestFit="1" customWidth="1"/>
    <col min="15" max="20" width="12.28515625" style="58" bestFit="1" customWidth="1"/>
    <col min="21"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FinStat Act</v>
      </c>
      <c r="B1" s="4"/>
      <c r="C1" s="76"/>
      <c r="D1" s="77"/>
    </row>
    <row r="2" spans="1:77" s="79" customFormat="1">
      <c r="C2" s="80"/>
      <c r="D2" s="81"/>
      <c r="E2" s="82" t="str">
        <f xml:space="preserve"> Time!E$19</f>
        <v xml:space="preserve">Model period ending </v>
      </c>
      <c r="F2" s="193">
        <f xml:space="preserve"> 'FinStat Act'!$F$69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279" customFormat="1" ht="15">
      <c r="A7" s="273"/>
      <c r="B7" s="274" t="s">
        <v>47</v>
      </c>
      <c r="C7" s="274"/>
      <c r="D7" s="275"/>
      <c r="E7" s="276"/>
      <c r="F7" s="276"/>
      <c r="G7" s="276"/>
      <c r="J7" s="276"/>
      <c r="K7" s="276"/>
      <c r="L7" s="276"/>
      <c r="M7" s="280"/>
      <c r="N7" s="280"/>
      <c r="O7" s="280"/>
      <c r="P7" s="280"/>
      <c r="Q7" s="280"/>
      <c r="R7" s="280"/>
      <c r="S7" s="280"/>
      <c r="T7" s="280"/>
      <c r="U7" s="280"/>
      <c r="V7" s="280"/>
      <c r="W7" s="280"/>
    </row>
    <row r="8" spans="1:77" customFormat="1" ht="15">
      <c r="A8" s="142"/>
      <c r="B8" s="143"/>
      <c r="C8" s="143"/>
      <c r="D8" s="144"/>
      <c r="E8" s="145"/>
      <c r="F8" s="145"/>
      <c r="G8" s="145"/>
      <c r="J8" s="58"/>
      <c r="K8" s="281"/>
      <c r="L8" s="281"/>
      <c r="M8" s="281"/>
      <c r="N8" s="281"/>
      <c r="O8" s="281"/>
      <c r="P8" s="281"/>
      <c r="Q8" s="146"/>
      <c r="R8" s="146"/>
      <c r="S8" s="146"/>
      <c r="T8" s="146"/>
      <c r="U8" s="146"/>
      <c r="V8" s="146"/>
      <c r="W8" s="146"/>
    </row>
    <row r="9" spans="1:77" customFormat="1" ht="15">
      <c r="A9" s="142"/>
      <c r="B9" s="143"/>
      <c r="C9" s="143"/>
      <c r="D9" s="144"/>
      <c r="E9" s="145" t="s">
        <v>64</v>
      </c>
      <c r="F9" s="147"/>
      <c r="G9" s="147" t="s">
        <v>48</v>
      </c>
      <c r="H9">
        <f t="shared" ref="H9:H25" si="0" xml:space="preserve"> SUM(J9:O9)</f>
        <v>49503634</v>
      </c>
      <c r="J9" s="147">
        <v>6050517</v>
      </c>
      <c r="K9" s="147">
        <v>6595964</v>
      </c>
      <c r="L9" s="147">
        <v>7567850</v>
      </c>
      <c r="M9" s="147">
        <v>8744643</v>
      </c>
      <c r="N9" s="148">
        <v>9630357</v>
      </c>
      <c r="O9" s="7">
        <v>10914303</v>
      </c>
      <c r="P9" s="181"/>
      <c r="Q9" s="181"/>
      <c r="R9" s="181"/>
      <c r="S9" s="181"/>
      <c r="T9" s="181"/>
      <c r="U9" s="181"/>
      <c r="V9" s="181"/>
      <c r="W9" s="181"/>
    </row>
    <row r="10" spans="1:77" customFormat="1" ht="15">
      <c r="A10" s="142"/>
      <c r="B10" s="143"/>
      <c r="C10" s="143"/>
      <c r="D10" s="144"/>
      <c r="E10" s="145" t="s">
        <v>65</v>
      </c>
      <c r="F10" s="147"/>
      <c r="G10" s="147" t="s">
        <v>48</v>
      </c>
      <c r="H10">
        <f t="shared" si="0"/>
        <v>45044200</v>
      </c>
      <c r="J10" s="147">
        <v>4232852</v>
      </c>
      <c r="K10" s="147">
        <v>4498432</v>
      </c>
      <c r="L10" s="147">
        <v>5971383</v>
      </c>
      <c r="M10" s="147">
        <v>11858477</v>
      </c>
      <c r="N10" s="204">
        <v>9778643</v>
      </c>
      <c r="O10" s="7">
        <v>8704413</v>
      </c>
      <c r="P10" s="182"/>
      <c r="Q10" s="182"/>
      <c r="R10" s="182"/>
      <c r="S10" s="182"/>
      <c r="T10" s="182"/>
      <c r="U10" s="182"/>
      <c r="V10" s="182"/>
      <c r="W10" s="182"/>
    </row>
    <row r="11" spans="1:77" customFormat="1" ht="15">
      <c r="A11" s="142"/>
      <c r="B11" s="143"/>
      <c r="C11" s="143"/>
      <c r="D11" s="144"/>
      <c r="E11" s="149" t="s">
        <v>66</v>
      </c>
      <c r="F11" s="150"/>
      <c r="G11" s="150" t="s">
        <v>48</v>
      </c>
      <c r="H11">
        <f t="shared" si="0"/>
        <v>94547834</v>
      </c>
      <c r="J11" s="150">
        <f t="shared" ref="J11:W11" si="1">SUM(J9:J10)</f>
        <v>10283369</v>
      </c>
      <c r="K11" s="150">
        <f t="shared" si="1"/>
        <v>11094396</v>
      </c>
      <c r="L11" s="150">
        <f t="shared" si="1"/>
        <v>13539233</v>
      </c>
      <c r="M11" s="150">
        <f t="shared" si="1"/>
        <v>20603120</v>
      </c>
      <c r="N11" s="150">
        <f t="shared" si="1"/>
        <v>19409000</v>
      </c>
      <c r="O11" s="150">
        <f t="shared" si="1"/>
        <v>19618716</v>
      </c>
      <c r="P11" s="150">
        <f t="shared" si="1"/>
        <v>0</v>
      </c>
      <c r="Q11" s="150">
        <f t="shared" si="1"/>
        <v>0</v>
      </c>
      <c r="R11" s="150">
        <f t="shared" si="1"/>
        <v>0</v>
      </c>
      <c r="S11" s="150">
        <f t="shared" si="1"/>
        <v>0</v>
      </c>
      <c r="T11" s="150">
        <f t="shared" si="1"/>
        <v>0</v>
      </c>
      <c r="U11" s="150">
        <f t="shared" si="1"/>
        <v>0</v>
      </c>
      <c r="V11" s="150">
        <f t="shared" si="1"/>
        <v>0</v>
      </c>
      <c r="W11" s="150">
        <f t="shared" si="1"/>
        <v>0</v>
      </c>
    </row>
    <row r="12" spans="1:77" s="192" customFormat="1" ht="15">
      <c r="A12" s="206"/>
      <c r="B12" s="144"/>
      <c r="C12" s="144"/>
      <c r="D12" s="144"/>
      <c r="E12" s="209" t="s">
        <v>109</v>
      </c>
      <c r="F12" s="210"/>
      <c r="G12" s="210" t="s">
        <v>48</v>
      </c>
      <c r="H12">
        <f t="shared" si="0"/>
        <v>-51161686</v>
      </c>
      <c r="J12" s="203">
        <v>-5142870</v>
      </c>
      <c r="K12" s="203">
        <v>-5676057</v>
      </c>
      <c r="L12" s="203">
        <v>-7512977</v>
      </c>
      <c r="M12" s="203">
        <v>-11321085</v>
      </c>
      <c r="N12" s="203">
        <v>-11030029</v>
      </c>
      <c r="O12" s="203">
        <v>-10478668</v>
      </c>
      <c r="P12" s="211"/>
      <c r="Q12" s="211"/>
      <c r="R12" s="211"/>
      <c r="S12" s="211"/>
      <c r="T12" s="211"/>
      <c r="U12" s="211"/>
      <c r="V12" s="211"/>
      <c r="W12" s="211"/>
    </row>
    <row r="13" spans="1:77" customFormat="1" ht="15">
      <c r="A13" s="142"/>
      <c r="B13" s="143"/>
      <c r="C13" s="143"/>
      <c r="D13" s="144"/>
      <c r="E13" s="149" t="s">
        <v>68</v>
      </c>
      <c r="F13" s="150"/>
      <c r="G13" s="150" t="s">
        <v>48</v>
      </c>
      <c r="H13">
        <f t="shared" si="0"/>
        <v>43386148</v>
      </c>
      <c r="J13" s="150">
        <f t="shared" ref="J13:W13" si="2" xml:space="preserve"> J11 + J12</f>
        <v>5140499</v>
      </c>
      <c r="K13" s="150">
        <f t="shared" si="2"/>
        <v>5418339</v>
      </c>
      <c r="L13" s="150">
        <f t="shared" si="2"/>
        <v>6026256</v>
      </c>
      <c r="M13" s="150">
        <f t="shared" si="2"/>
        <v>9282035</v>
      </c>
      <c r="N13" s="150">
        <f t="shared" si="2"/>
        <v>8378971</v>
      </c>
      <c r="O13" s="150">
        <f t="shared" si="2"/>
        <v>9140048</v>
      </c>
      <c r="P13" s="150">
        <f t="shared" si="2"/>
        <v>0</v>
      </c>
      <c r="Q13" s="150">
        <f t="shared" si="2"/>
        <v>0</v>
      </c>
      <c r="R13" s="150">
        <f t="shared" si="2"/>
        <v>0</v>
      </c>
      <c r="S13" s="150">
        <f t="shared" si="2"/>
        <v>0</v>
      </c>
      <c r="T13" s="150">
        <f t="shared" si="2"/>
        <v>0</v>
      </c>
      <c r="U13" s="150">
        <f t="shared" si="2"/>
        <v>0</v>
      </c>
      <c r="V13" s="150">
        <f t="shared" si="2"/>
        <v>0</v>
      </c>
      <c r="W13" s="150">
        <f t="shared" si="2"/>
        <v>0</v>
      </c>
    </row>
    <row r="14" spans="1:77" customFormat="1" ht="15">
      <c r="A14" s="142"/>
      <c r="B14" s="143"/>
      <c r="C14" s="143"/>
      <c r="D14" s="144"/>
      <c r="E14" s="145" t="s">
        <v>69</v>
      </c>
      <c r="F14" s="147"/>
      <c r="G14" s="147" t="s">
        <v>48</v>
      </c>
      <c r="H14">
        <f t="shared" si="0"/>
        <v>1491530</v>
      </c>
      <c r="J14" s="147">
        <v>199745</v>
      </c>
      <c r="K14" s="147">
        <v>237536</v>
      </c>
      <c r="L14" s="147">
        <v>138766</v>
      </c>
      <c r="M14" s="147">
        <v>291319</v>
      </c>
      <c r="N14" s="147">
        <v>408619</v>
      </c>
      <c r="O14" s="147">
        <v>215545</v>
      </c>
      <c r="P14" s="148"/>
      <c r="Q14" s="148"/>
      <c r="R14" s="148"/>
      <c r="S14" s="148"/>
      <c r="T14" s="148"/>
      <c r="U14" s="148"/>
      <c r="V14" s="148"/>
      <c r="W14" s="148"/>
    </row>
    <row r="15" spans="1:77" customFormat="1" ht="15">
      <c r="A15" s="142"/>
      <c r="B15" s="143"/>
      <c r="C15" s="143"/>
      <c r="D15" s="144"/>
      <c r="E15" s="149" t="s">
        <v>70</v>
      </c>
      <c r="F15" s="150"/>
      <c r="G15" s="150" t="s">
        <v>48</v>
      </c>
      <c r="H15">
        <f t="shared" si="0"/>
        <v>44877678</v>
      </c>
      <c r="J15" s="150">
        <f t="shared" ref="J15:W15" si="3">SUM(J13:J14)</f>
        <v>5340244</v>
      </c>
      <c r="K15" s="150">
        <f t="shared" si="3"/>
        <v>5655875</v>
      </c>
      <c r="L15" s="150">
        <f t="shared" si="3"/>
        <v>6165022</v>
      </c>
      <c r="M15" s="150">
        <f t="shared" si="3"/>
        <v>9573354</v>
      </c>
      <c r="N15" s="150">
        <f t="shared" si="3"/>
        <v>8787590</v>
      </c>
      <c r="O15" s="150">
        <f t="shared" si="3"/>
        <v>9355593</v>
      </c>
      <c r="P15" s="150">
        <f t="shared" si="3"/>
        <v>0</v>
      </c>
      <c r="Q15" s="150">
        <f t="shared" si="3"/>
        <v>0</v>
      </c>
      <c r="R15" s="150">
        <f t="shared" si="3"/>
        <v>0</v>
      </c>
      <c r="S15" s="150">
        <f t="shared" si="3"/>
        <v>0</v>
      </c>
      <c r="T15" s="150">
        <f t="shared" si="3"/>
        <v>0</v>
      </c>
      <c r="U15" s="150">
        <f t="shared" si="3"/>
        <v>0</v>
      </c>
      <c r="V15" s="150">
        <f t="shared" si="3"/>
        <v>0</v>
      </c>
      <c r="W15" s="150">
        <f t="shared" si="3"/>
        <v>0</v>
      </c>
    </row>
    <row r="16" spans="1:77" ht="15">
      <c r="A16" s="142"/>
      <c r="B16" s="143"/>
      <c r="C16" s="143"/>
      <c r="D16" s="144"/>
      <c r="E16" s="145" t="s">
        <v>71</v>
      </c>
      <c r="F16" s="147"/>
      <c r="G16" s="147" t="s">
        <v>48</v>
      </c>
      <c r="H16">
        <f t="shared" si="0"/>
        <v>-8164373</v>
      </c>
      <c r="J16" s="147">
        <v>-688703</v>
      </c>
      <c r="K16" s="147">
        <v>-632009</v>
      </c>
      <c r="L16" s="147">
        <v>-1448860</v>
      </c>
      <c r="M16" s="147">
        <v>-1718330</v>
      </c>
      <c r="N16" s="148">
        <v>-1894730</v>
      </c>
      <c r="O16" s="148">
        <v>-1781741</v>
      </c>
      <c r="P16" s="148"/>
      <c r="Q16" s="148"/>
      <c r="R16" s="148"/>
      <c r="S16" s="148"/>
      <c r="T16" s="148"/>
      <c r="U16" s="148"/>
      <c r="V16" s="148"/>
      <c r="W16" s="148"/>
    </row>
    <row r="17" spans="1:23" ht="15">
      <c r="A17" s="142"/>
      <c r="B17" s="143"/>
      <c r="C17" s="143"/>
      <c r="D17" s="144"/>
      <c r="E17" s="145" t="s">
        <v>72</v>
      </c>
      <c r="F17" s="147"/>
      <c r="G17" s="147" t="s">
        <v>48</v>
      </c>
      <c r="H17">
        <f t="shared" si="0"/>
        <v>-9087895</v>
      </c>
      <c r="J17" s="147">
        <v>-1599369</v>
      </c>
      <c r="K17" s="147">
        <v>-2202853</v>
      </c>
      <c r="L17" s="147">
        <v>-1264683</v>
      </c>
      <c r="M17" s="147">
        <v>-1722799</v>
      </c>
      <c r="N17" s="147">
        <f>-834225</f>
        <v>-834225</v>
      </c>
      <c r="O17" s="147">
        <v>-1463966</v>
      </c>
      <c r="P17" s="147"/>
      <c r="Q17" s="147"/>
      <c r="R17" s="147"/>
      <c r="S17" s="147"/>
      <c r="T17" s="147"/>
      <c r="U17" s="147"/>
      <c r="V17" s="147"/>
      <c r="W17" s="147"/>
    </row>
    <row r="18" spans="1:23" s="27" customFormat="1" ht="15">
      <c r="A18" s="267"/>
      <c r="B18" s="144"/>
      <c r="C18" s="144"/>
      <c r="D18" s="144"/>
      <c r="E18" s="145" t="s">
        <v>164</v>
      </c>
      <c r="F18" s="147"/>
      <c r="G18" s="147" t="s">
        <v>48</v>
      </c>
      <c r="H18">
        <f t="shared" si="0"/>
        <v>-17252268</v>
      </c>
      <c r="J18" s="147">
        <f>SUM(J16:J17)</f>
        <v>-2288072</v>
      </c>
      <c r="K18" s="147">
        <f t="shared" ref="K18:W18" si="4">SUM(K16:K17)</f>
        <v>-2834862</v>
      </c>
      <c r="L18" s="147">
        <f t="shared" si="4"/>
        <v>-2713543</v>
      </c>
      <c r="M18" s="147">
        <f t="shared" si="4"/>
        <v>-3441129</v>
      </c>
      <c r="N18" s="147">
        <f t="shared" si="4"/>
        <v>-2728955</v>
      </c>
      <c r="O18" s="147">
        <f t="shared" si="4"/>
        <v>-3245707</v>
      </c>
      <c r="P18" s="147">
        <f t="shared" si="4"/>
        <v>0</v>
      </c>
      <c r="Q18" s="147">
        <f t="shared" si="4"/>
        <v>0</v>
      </c>
      <c r="R18" s="147">
        <f t="shared" si="4"/>
        <v>0</v>
      </c>
      <c r="S18" s="147">
        <f t="shared" si="4"/>
        <v>0</v>
      </c>
      <c r="T18" s="147">
        <f t="shared" si="4"/>
        <v>0</v>
      </c>
      <c r="U18" s="147">
        <f t="shared" si="4"/>
        <v>0</v>
      </c>
      <c r="V18" s="147">
        <f t="shared" si="4"/>
        <v>0</v>
      </c>
      <c r="W18" s="147">
        <f t="shared" si="4"/>
        <v>0</v>
      </c>
    </row>
    <row r="19" spans="1:23" s="10" customFormat="1" ht="15">
      <c r="A19" s="159"/>
      <c r="B19" s="143"/>
      <c r="C19" s="143"/>
      <c r="D19" s="143"/>
      <c r="E19" s="195" t="s">
        <v>170</v>
      </c>
      <c r="F19" s="196"/>
      <c r="G19" s="196" t="str">
        <f>smu</f>
        <v>Kes '000'</v>
      </c>
      <c r="H19">
        <f t="shared" si="0"/>
        <v>27625410</v>
      </c>
      <c r="J19" s="196">
        <f t="shared" ref="J19:W19" si="5" xml:space="preserve"> J15 + J18</f>
        <v>3052172</v>
      </c>
      <c r="K19" s="196">
        <f t="shared" si="5"/>
        <v>2821013</v>
      </c>
      <c r="L19" s="196">
        <f t="shared" si="5"/>
        <v>3451479</v>
      </c>
      <c r="M19" s="196">
        <f t="shared" si="5"/>
        <v>6132225</v>
      </c>
      <c r="N19" s="196">
        <f t="shared" si="5"/>
        <v>6058635</v>
      </c>
      <c r="O19" s="196">
        <f t="shared" si="5"/>
        <v>6109886</v>
      </c>
      <c r="P19" s="196">
        <f t="shared" si="5"/>
        <v>0</v>
      </c>
      <c r="Q19" s="196">
        <f t="shared" si="5"/>
        <v>0</v>
      </c>
      <c r="R19" s="196">
        <f t="shared" si="5"/>
        <v>0</v>
      </c>
      <c r="S19" s="196">
        <f t="shared" si="5"/>
        <v>0</v>
      </c>
      <c r="T19" s="196">
        <f t="shared" si="5"/>
        <v>0</v>
      </c>
      <c r="U19" s="196">
        <f t="shared" si="5"/>
        <v>0</v>
      </c>
      <c r="V19" s="196">
        <f t="shared" si="5"/>
        <v>0</v>
      </c>
      <c r="W19" s="196">
        <f t="shared" si="5"/>
        <v>0</v>
      </c>
    </row>
    <row r="20" spans="1:23" ht="15">
      <c r="A20" s="142"/>
      <c r="B20" s="143"/>
      <c r="C20" s="143"/>
      <c r="D20" s="144"/>
      <c r="E20" s="145" t="s">
        <v>110</v>
      </c>
      <c r="F20" s="147"/>
      <c r="G20" s="147" t="s">
        <v>48</v>
      </c>
      <c r="H20">
        <f t="shared" si="0"/>
        <v>-3122060</v>
      </c>
      <c r="J20" s="147">
        <v>-466673</v>
      </c>
      <c r="K20" s="147">
        <v>-529204</v>
      </c>
      <c r="L20" s="147">
        <v>-603792</v>
      </c>
      <c r="M20" s="147">
        <v>-553638</v>
      </c>
      <c r="N20" s="148">
        <v>-553151</v>
      </c>
      <c r="O20" s="148">
        <v>-415602</v>
      </c>
      <c r="P20" s="148"/>
      <c r="Q20" s="148"/>
      <c r="R20" s="148"/>
      <c r="S20" s="148"/>
      <c r="T20" s="148"/>
      <c r="U20" s="148"/>
      <c r="V20" s="148"/>
      <c r="W20" s="148"/>
    </row>
    <row r="21" spans="1:23" s="10" customFormat="1" ht="15">
      <c r="A21" s="159"/>
      <c r="B21" s="143"/>
      <c r="C21" s="143"/>
      <c r="D21" s="143"/>
      <c r="E21" s="149" t="s">
        <v>171</v>
      </c>
      <c r="F21" s="150"/>
      <c r="G21" s="150" t="s">
        <v>48</v>
      </c>
      <c r="H21">
        <f t="shared" si="0"/>
        <v>24503350</v>
      </c>
      <c r="J21" s="150">
        <f t="shared" ref="J21:O21" si="6" xml:space="preserve"> J19 + J20</f>
        <v>2585499</v>
      </c>
      <c r="K21" s="150">
        <f t="shared" si="6"/>
        <v>2291809</v>
      </c>
      <c r="L21" s="150">
        <f t="shared" si="6"/>
        <v>2847687</v>
      </c>
      <c r="M21" s="150">
        <f t="shared" si="6"/>
        <v>5578587</v>
      </c>
      <c r="N21" s="150">
        <f t="shared" si="6"/>
        <v>5505484</v>
      </c>
      <c r="O21" s="150">
        <f t="shared" si="6"/>
        <v>5694284</v>
      </c>
      <c r="P21" s="150">
        <f t="shared" ref="P21:W21" si="7" xml:space="preserve"> P19 + P20</f>
        <v>0</v>
      </c>
      <c r="Q21" s="150">
        <f t="shared" si="7"/>
        <v>0</v>
      </c>
      <c r="R21" s="150">
        <f t="shared" si="7"/>
        <v>0</v>
      </c>
      <c r="S21" s="150">
        <f t="shared" si="7"/>
        <v>0</v>
      </c>
      <c r="T21" s="150">
        <f t="shared" si="7"/>
        <v>0</v>
      </c>
      <c r="U21" s="150">
        <f t="shared" si="7"/>
        <v>0</v>
      </c>
      <c r="V21" s="150">
        <f t="shared" si="7"/>
        <v>0</v>
      </c>
      <c r="W21" s="150">
        <f t="shared" si="7"/>
        <v>0</v>
      </c>
    </row>
    <row r="22" spans="1:23" ht="15">
      <c r="A22" s="142"/>
      <c r="B22" s="143"/>
      <c r="C22" s="143"/>
      <c r="D22" s="144"/>
      <c r="E22" s="145" t="s">
        <v>73</v>
      </c>
      <c r="F22" s="147"/>
      <c r="G22" s="147" t="s">
        <v>48</v>
      </c>
      <c r="H22">
        <f t="shared" si="0"/>
        <v>-1196514</v>
      </c>
      <c r="J22" s="147">
        <v>-105617</v>
      </c>
      <c r="K22" s="147">
        <v>-165615</v>
      </c>
      <c r="L22" s="147">
        <v>-186615</v>
      </c>
      <c r="M22" s="147">
        <v>-172041</v>
      </c>
      <c r="N22" s="148">
        <v>-304350</v>
      </c>
      <c r="O22" s="148">
        <v>-262276</v>
      </c>
      <c r="P22" s="148"/>
      <c r="Q22" s="148"/>
      <c r="R22" s="148"/>
      <c r="S22" s="148"/>
      <c r="T22" s="148"/>
      <c r="U22" s="148"/>
      <c r="V22" s="148"/>
      <c r="W22" s="148"/>
    </row>
    <row r="23" spans="1:23" ht="15">
      <c r="A23" s="142"/>
      <c r="B23" s="143"/>
      <c r="C23" s="143"/>
      <c r="D23" s="144"/>
      <c r="E23" s="151" t="s">
        <v>74</v>
      </c>
      <c r="F23" s="152"/>
      <c r="G23" s="152" t="s">
        <v>48</v>
      </c>
      <c r="H23">
        <f t="shared" si="0"/>
        <v>23306836</v>
      </c>
      <c r="J23" s="152">
        <f t="shared" ref="J23:O23" si="8" xml:space="preserve"> J21 + J22</f>
        <v>2479882</v>
      </c>
      <c r="K23" s="152">
        <f t="shared" si="8"/>
        <v>2126194</v>
      </c>
      <c r="L23" s="152">
        <f t="shared" si="8"/>
        <v>2661072</v>
      </c>
      <c r="M23" s="152">
        <f t="shared" si="8"/>
        <v>5406546</v>
      </c>
      <c r="N23" s="152">
        <f t="shared" si="8"/>
        <v>5201134</v>
      </c>
      <c r="O23" s="152">
        <f t="shared" si="8"/>
        <v>5432008</v>
      </c>
      <c r="P23" s="152">
        <f t="shared" ref="P23:W23" si="9" xml:space="preserve"> P21 + P22</f>
        <v>0</v>
      </c>
      <c r="Q23" s="152">
        <f t="shared" si="9"/>
        <v>0</v>
      </c>
      <c r="R23" s="152">
        <f t="shared" si="9"/>
        <v>0</v>
      </c>
      <c r="S23" s="152">
        <f t="shared" si="9"/>
        <v>0</v>
      </c>
      <c r="T23" s="152">
        <f t="shared" si="9"/>
        <v>0</v>
      </c>
      <c r="U23" s="152">
        <f t="shared" si="9"/>
        <v>0</v>
      </c>
      <c r="V23" s="152">
        <f t="shared" si="9"/>
        <v>0</v>
      </c>
      <c r="W23" s="152">
        <f t="shared" si="9"/>
        <v>0</v>
      </c>
    </row>
    <row r="24" spans="1:23" ht="15">
      <c r="A24" s="142"/>
      <c r="B24" s="143"/>
      <c r="C24" s="143"/>
      <c r="D24" s="144"/>
      <c r="E24" s="145" t="s">
        <v>75</v>
      </c>
      <c r="F24" s="147"/>
      <c r="G24" s="147" t="s">
        <v>48</v>
      </c>
      <c r="H24">
        <f t="shared" si="0"/>
        <v>-7336958.7999999998</v>
      </c>
      <c r="J24" s="147">
        <v>-716517.9</v>
      </c>
      <c r="K24" s="147">
        <v>-630533.19999999995</v>
      </c>
      <c r="L24" s="147">
        <v>-955335.6</v>
      </c>
      <c r="M24" s="147">
        <v>-1665359.5999999999</v>
      </c>
      <c r="N24" s="147">
        <v>-1622949</v>
      </c>
      <c r="O24" s="147">
        <v>-1746263.5</v>
      </c>
      <c r="P24" s="147"/>
      <c r="Q24" s="147"/>
      <c r="R24" s="147"/>
      <c r="S24" s="147"/>
      <c r="T24" s="147"/>
      <c r="U24" s="147"/>
      <c r="V24" s="147"/>
      <c r="W24" s="147"/>
    </row>
    <row r="25" spans="1:23" ht="15.75" thickBot="1">
      <c r="A25" s="142"/>
      <c r="B25" s="143"/>
      <c r="C25" s="143"/>
      <c r="D25" s="144"/>
      <c r="E25" s="160" t="s">
        <v>172</v>
      </c>
      <c r="F25" s="161"/>
      <c r="G25" s="161" t="s">
        <v>48</v>
      </c>
      <c r="H25">
        <f t="shared" si="0"/>
        <v>15969877.200000001</v>
      </c>
      <c r="J25" s="205">
        <f xml:space="preserve"> J$23 + J$24</f>
        <v>1763364.1</v>
      </c>
      <c r="K25" s="205">
        <f t="shared" ref="K25:W25" si="10" xml:space="preserve"> K$23 + K$24</f>
        <v>1495660.8</v>
      </c>
      <c r="L25" s="205">
        <f t="shared" si="10"/>
        <v>1705736.4</v>
      </c>
      <c r="M25" s="205">
        <f t="shared" si="10"/>
        <v>3741186.4000000004</v>
      </c>
      <c r="N25" s="205">
        <f t="shared" si="10"/>
        <v>3578185</v>
      </c>
      <c r="O25" s="205">
        <f t="shared" si="10"/>
        <v>3685744.5</v>
      </c>
      <c r="P25" s="205">
        <f t="shared" si="10"/>
        <v>0</v>
      </c>
      <c r="Q25" s="205">
        <f t="shared" si="10"/>
        <v>0</v>
      </c>
      <c r="R25" s="205">
        <f t="shared" si="10"/>
        <v>0</v>
      </c>
      <c r="S25" s="205">
        <f t="shared" si="10"/>
        <v>0</v>
      </c>
      <c r="T25" s="205">
        <f t="shared" si="10"/>
        <v>0</v>
      </c>
      <c r="U25" s="205">
        <f t="shared" si="10"/>
        <v>0</v>
      </c>
      <c r="V25" s="205">
        <f t="shared" si="10"/>
        <v>0</v>
      </c>
      <c r="W25" s="205">
        <f t="shared" si="10"/>
        <v>0</v>
      </c>
    </row>
    <row r="26" spans="1:23" ht="15.75" thickTop="1">
      <c r="A26" s="142"/>
      <c r="B26" s="143"/>
      <c r="C26" s="143"/>
      <c r="D26" s="144"/>
      <c r="E26" s="143"/>
      <c r="F26" s="157"/>
      <c r="G26" s="157"/>
      <c r="J26" s="154"/>
      <c r="K26" s="154"/>
      <c r="L26" s="154"/>
      <c r="M26" s="154"/>
      <c r="N26" s="154"/>
      <c r="O26" s="154"/>
      <c r="P26" s="154"/>
      <c r="Q26" s="154"/>
      <c r="R26" s="154"/>
      <c r="S26" s="154"/>
      <c r="T26" s="154"/>
      <c r="U26" s="154"/>
      <c r="V26" s="154"/>
      <c r="W26" s="154"/>
    </row>
    <row r="27" spans="1:23" ht="15">
      <c r="A27" s="142"/>
      <c r="B27" s="143"/>
      <c r="C27" s="143"/>
      <c r="D27" s="144"/>
      <c r="E27" s="145" t="s">
        <v>76</v>
      </c>
      <c r="F27" s="147"/>
      <c r="G27" s="147" t="s">
        <v>48</v>
      </c>
      <c r="H27" s="58">
        <f xml:space="preserve"> SUM(J27:O27)</f>
        <v>1950000</v>
      </c>
      <c r="J27" s="147">
        <v>450000</v>
      </c>
      <c r="K27" s="147">
        <v>450000</v>
      </c>
      <c r="L27" s="147">
        <v>0</v>
      </c>
      <c r="M27" s="147">
        <v>350000</v>
      </c>
      <c r="N27" s="148">
        <v>350000</v>
      </c>
      <c r="O27" s="78">
        <v>350000</v>
      </c>
      <c r="P27" s="148"/>
      <c r="Q27" s="148"/>
      <c r="R27" s="148"/>
      <c r="S27" s="148"/>
      <c r="T27" s="148"/>
      <c r="U27" s="148"/>
      <c r="V27" s="148"/>
      <c r="W27" s="148"/>
    </row>
    <row r="28" spans="1:23" ht="15">
      <c r="A28" s="142"/>
      <c r="B28" s="143"/>
      <c r="C28" s="143"/>
      <c r="D28" s="144"/>
      <c r="E28" s="145" t="s">
        <v>77</v>
      </c>
      <c r="F28" s="147"/>
      <c r="G28" s="147" t="s">
        <v>48</v>
      </c>
      <c r="H28" s="58">
        <f xml:space="preserve"> SUM(J28:O28)</f>
        <v>12675000</v>
      </c>
      <c r="J28" s="147">
        <v>1250000</v>
      </c>
      <c r="K28" s="147">
        <v>1025000</v>
      </c>
      <c r="L28" s="147">
        <v>1450000</v>
      </c>
      <c r="M28" s="147">
        <v>2700000</v>
      </c>
      <c r="N28" s="148">
        <v>2900000</v>
      </c>
      <c r="O28" s="78">
        <v>3350000</v>
      </c>
      <c r="P28" s="148"/>
      <c r="Q28" s="148"/>
      <c r="R28" s="148"/>
      <c r="S28" s="148"/>
      <c r="T28" s="148"/>
      <c r="U28" s="148"/>
      <c r="V28" s="148"/>
      <c r="W28" s="148"/>
    </row>
    <row r="29" spans="1:23" ht="15">
      <c r="A29" s="142"/>
      <c r="B29" s="143"/>
      <c r="C29" s="143"/>
      <c r="D29" s="144"/>
      <c r="E29" s="149" t="s">
        <v>78</v>
      </c>
      <c r="F29" s="150"/>
      <c r="G29" s="150" t="s">
        <v>48</v>
      </c>
      <c r="H29" s="58">
        <f xml:space="preserve"> SUM(J29:W29)</f>
        <v>14625000</v>
      </c>
      <c r="J29" s="150">
        <f>SUM(J27:J28)</f>
        <v>1700000</v>
      </c>
      <c r="K29" s="150">
        <f t="shared" ref="K29:W29" si="11">SUM(K27:K28)</f>
        <v>1475000</v>
      </c>
      <c r="L29" s="150">
        <f t="shared" si="11"/>
        <v>1450000</v>
      </c>
      <c r="M29" s="150">
        <f t="shared" si="11"/>
        <v>3050000</v>
      </c>
      <c r="N29" s="150">
        <f t="shared" si="11"/>
        <v>3250000</v>
      </c>
      <c r="O29" s="150">
        <f t="shared" si="11"/>
        <v>3700000</v>
      </c>
      <c r="P29" s="150">
        <f t="shared" si="11"/>
        <v>0</v>
      </c>
      <c r="Q29" s="150">
        <f t="shared" si="11"/>
        <v>0</v>
      </c>
      <c r="R29" s="150">
        <f t="shared" si="11"/>
        <v>0</v>
      </c>
      <c r="S29" s="150">
        <f t="shared" si="11"/>
        <v>0</v>
      </c>
      <c r="T29" s="150">
        <f t="shared" si="11"/>
        <v>0</v>
      </c>
      <c r="U29" s="150">
        <f t="shared" si="11"/>
        <v>0</v>
      </c>
      <c r="V29" s="150">
        <f t="shared" si="11"/>
        <v>0</v>
      </c>
      <c r="W29" s="150">
        <f t="shared" si="11"/>
        <v>0</v>
      </c>
    </row>
    <row r="30" spans="1:23" ht="15">
      <c r="A30" s="142"/>
      <c r="B30" s="143"/>
      <c r="C30" s="143"/>
      <c r="D30" s="144"/>
      <c r="E30" s="145" t="s">
        <v>67</v>
      </c>
      <c r="F30" s="147"/>
      <c r="G30" s="147"/>
      <c r="J30" s="147"/>
      <c r="K30" s="147"/>
      <c r="L30" s="147"/>
      <c r="M30" s="147"/>
      <c r="N30" s="148"/>
      <c r="O30" s="148"/>
      <c r="P30" s="148"/>
      <c r="Q30" s="148"/>
      <c r="R30" s="148"/>
      <c r="S30" s="148"/>
      <c r="T30" s="148"/>
      <c r="U30" s="148"/>
      <c r="V30" s="148"/>
      <c r="W30" s="148"/>
    </row>
    <row r="31" spans="1:23" s="277" customFormat="1" ht="15">
      <c r="A31" s="273"/>
      <c r="B31" s="274" t="s">
        <v>49</v>
      </c>
      <c r="C31" s="274"/>
      <c r="D31" s="275"/>
      <c r="E31" s="276"/>
      <c r="F31" s="269"/>
      <c r="G31" s="269"/>
      <c r="J31" s="269"/>
      <c r="K31" s="269"/>
      <c r="L31" s="269"/>
      <c r="M31" s="269"/>
      <c r="N31" s="272"/>
      <c r="O31" s="272"/>
      <c r="P31" s="272"/>
      <c r="Q31" s="272"/>
      <c r="R31" s="272"/>
      <c r="S31" s="272"/>
      <c r="T31" s="272"/>
      <c r="U31" s="272"/>
      <c r="V31" s="272"/>
      <c r="W31" s="272"/>
    </row>
    <row r="32" spans="1:23" ht="15">
      <c r="A32" s="142"/>
      <c r="B32" s="143"/>
      <c r="C32" s="143"/>
      <c r="D32" s="144"/>
      <c r="E32" s="146"/>
      <c r="F32" s="147"/>
      <c r="G32" s="147"/>
      <c r="J32" s="147"/>
      <c r="K32" s="147"/>
      <c r="L32" s="147"/>
      <c r="M32" s="147"/>
      <c r="N32" s="148"/>
      <c r="O32" s="148"/>
      <c r="P32" s="148"/>
      <c r="Q32" s="148"/>
      <c r="R32" s="148"/>
      <c r="S32" s="148"/>
      <c r="T32" s="148"/>
      <c r="U32" s="148"/>
      <c r="V32" s="148"/>
      <c r="W32" s="148"/>
    </row>
    <row r="33" spans="1:23" ht="15">
      <c r="A33" s="142"/>
      <c r="B33" s="143"/>
      <c r="C33" s="143" t="s">
        <v>50</v>
      </c>
      <c r="D33" s="144"/>
      <c r="E33" s="146"/>
      <c r="F33" s="147"/>
      <c r="G33" s="147"/>
      <c r="J33" s="147"/>
      <c r="K33" s="147"/>
      <c r="L33" s="147"/>
      <c r="M33" s="147"/>
      <c r="N33" s="148"/>
      <c r="O33" s="148"/>
      <c r="P33" s="148"/>
      <c r="Q33" s="148"/>
      <c r="R33" s="148"/>
      <c r="S33" s="148"/>
      <c r="T33" s="148"/>
      <c r="U33" s="148"/>
      <c r="V33" s="148"/>
      <c r="W33" s="148"/>
    </row>
    <row r="34" spans="1:23" ht="15">
      <c r="A34" s="142"/>
      <c r="B34" s="143"/>
      <c r="C34" s="143"/>
      <c r="D34" s="144"/>
      <c r="E34" s="145" t="s">
        <v>79</v>
      </c>
      <c r="F34" s="147"/>
      <c r="G34" s="147" t="s">
        <v>48</v>
      </c>
      <c r="H34" s="58">
        <f xml:space="preserve"> SUM(J34:O34)</f>
        <v>41550345</v>
      </c>
      <c r="J34" s="147">
        <v>5684334</v>
      </c>
      <c r="K34" s="147">
        <v>6299672</v>
      </c>
      <c r="L34" s="147">
        <v>6309139</v>
      </c>
      <c r="M34" s="147">
        <v>6756340</v>
      </c>
      <c r="N34" s="148">
        <v>8046667</v>
      </c>
      <c r="O34" s="148">
        <v>8454193</v>
      </c>
      <c r="P34" s="148"/>
      <c r="Q34" s="148"/>
      <c r="R34" s="148"/>
      <c r="S34" s="148"/>
      <c r="T34" s="148"/>
      <c r="U34" s="148"/>
      <c r="V34" s="148"/>
      <c r="W34" s="148"/>
    </row>
    <row r="35" spans="1:23" ht="15">
      <c r="A35" s="142"/>
      <c r="B35" s="143"/>
      <c r="C35" s="143"/>
      <c r="D35" s="144"/>
      <c r="E35" s="151" t="s">
        <v>80</v>
      </c>
      <c r="F35" s="152"/>
      <c r="G35" s="152" t="s">
        <v>48</v>
      </c>
      <c r="H35" s="58">
        <f xml:space="preserve"> SUM(J35:W35)</f>
        <v>41550345</v>
      </c>
      <c r="J35" s="152">
        <f t="shared" ref="J35:W35" si="12">SUM(J34:J34)</f>
        <v>5684334</v>
      </c>
      <c r="K35" s="152">
        <f t="shared" si="12"/>
        <v>6299672</v>
      </c>
      <c r="L35" s="152">
        <f t="shared" si="12"/>
        <v>6309139</v>
      </c>
      <c r="M35" s="152">
        <f t="shared" si="12"/>
        <v>6756340</v>
      </c>
      <c r="N35" s="152">
        <f t="shared" si="12"/>
        <v>8046667</v>
      </c>
      <c r="O35" s="152">
        <f t="shared" si="12"/>
        <v>8454193</v>
      </c>
      <c r="P35" s="152">
        <f t="shared" si="12"/>
        <v>0</v>
      </c>
      <c r="Q35" s="152">
        <f t="shared" si="12"/>
        <v>0</v>
      </c>
      <c r="R35" s="152">
        <f t="shared" si="12"/>
        <v>0</v>
      </c>
      <c r="S35" s="152">
        <f t="shared" si="12"/>
        <v>0</v>
      </c>
      <c r="T35" s="152">
        <f t="shared" si="12"/>
        <v>0</v>
      </c>
      <c r="U35" s="152">
        <f t="shared" si="12"/>
        <v>0</v>
      </c>
      <c r="V35" s="152">
        <f t="shared" si="12"/>
        <v>0</v>
      </c>
      <c r="W35" s="152">
        <f t="shared" si="12"/>
        <v>0</v>
      </c>
    </row>
    <row r="36" spans="1:23" ht="15">
      <c r="A36" s="142"/>
      <c r="B36" s="143"/>
      <c r="C36" s="143"/>
      <c r="D36" s="144"/>
      <c r="E36" s="144" t="s">
        <v>67</v>
      </c>
      <c r="F36" s="155"/>
      <c r="G36" s="155"/>
      <c r="J36" s="155"/>
      <c r="K36" s="155"/>
      <c r="L36" s="155"/>
      <c r="M36" s="155"/>
      <c r="N36" s="162"/>
      <c r="O36" s="162"/>
      <c r="P36" s="162"/>
      <c r="Q36" s="162"/>
      <c r="R36" s="162"/>
      <c r="S36" s="162"/>
      <c r="T36" s="162"/>
      <c r="U36" s="162"/>
      <c r="V36" s="162"/>
      <c r="W36" s="162"/>
    </row>
    <row r="37" spans="1:23" ht="15">
      <c r="A37" s="142"/>
      <c r="B37" s="143"/>
      <c r="C37" s="143" t="s">
        <v>51</v>
      </c>
      <c r="D37" s="144"/>
      <c r="E37" s="146"/>
      <c r="F37" s="147"/>
      <c r="G37" s="147"/>
      <c r="J37" s="147"/>
      <c r="K37" s="147"/>
      <c r="L37" s="147"/>
      <c r="M37" s="147"/>
      <c r="N37" s="148"/>
      <c r="O37" s="148"/>
      <c r="P37" s="148"/>
      <c r="Q37" s="148"/>
      <c r="R37" s="148"/>
      <c r="S37" s="148"/>
      <c r="T37" s="148"/>
      <c r="U37" s="148"/>
      <c r="V37" s="148"/>
      <c r="W37" s="148"/>
    </row>
    <row r="38" spans="1:23" ht="15">
      <c r="A38" s="142"/>
      <c r="B38" s="143"/>
      <c r="C38" s="143"/>
      <c r="D38" s="144"/>
      <c r="E38" s="145" t="s">
        <v>81</v>
      </c>
      <c r="F38" s="147"/>
      <c r="G38" s="147" t="s">
        <v>48</v>
      </c>
      <c r="H38" s="58">
        <f xml:space="preserve"> SUM(J38:O38)</f>
        <v>20608440</v>
      </c>
      <c r="J38" s="147">
        <v>2085678</v>
      </c>
      <c r="K38" s="147">
        <v>2299571</v>
      </c>
      <c r="L38" s="146">
        <v>2972758</v>
      </c>
      <c r="M38" s="147">
        <v>4374777</v>
      </c>
      <c r="N38" s="148">
        <v>4393589</v>
      </c>
      <c r="O38" s="148">
        <v>4482067</v>
      </c>
      <c r="P38" s="148"/>
      <c r="Q38" s="148"/>
      <c r="R38" s="148"/>
      <c r="S38" s="148"/>
      <c r="T38" s="148"/>
      <c r="U38" s="148"/>
      <c r="V38" s="148"/>
      <c r="W38" s="148"/>
    </row>
    <row r="39" spans="1:23" ht="15">
      <c r="A39" s="142"/>
      <c r="B39" s="143"/>
      <c r="C39" s="143"/>
      <c r="D39" s="144"/>
      <c r="E39" s="145" t="s">
        <v>82</v>
      </c>
      <c r="F39" s="147"/>
      <c r="G39" s="147" t="s">
        <v>48</v>
      </c>
      <c r="H39" s="58">
        <f xml:space="preserve"> SUM(J39:O39)</f>
        <v>13402820</v>
      </c>
      <c r="J39" s="147">
        <v>1734732</v>
      </c>
      <c r="K39" s="147">
        <v>1693180</v>
      </c>
      <c r="L39" s="147">
        <v>1710666</v>
      </c>
      <c r="M39" s="147">
        <v>1884257</v>
      </c>
      <c r="N39" s="148">
        <v>2541925</v>
      </c>
      <c r="O39" s="148">
        <v>3838060</v>
      </c>
      <c r="P39" s="148"/>
      <c r="Q39" s="148"/>
      <c r="R39" s="148"/>
      <c r="S39" s="148"/>
      <c r="T39" s="148"/>
      <c r="U39" s="148"/>
      <c r="V39" s="148"/>
      <c r="W39" s="148"/>
    </row>
    <row r="40" spans="1:23" ht="15">
      <c r="A40" s="142"/>
      <c r="B40" s="143"/>
      <c r="C40" s="143"/>
      <c r="D40" s="144"/>
      <c r="E40" s="145" t="s">
        <v>83</v>
      </c>
      <c r="F40" s="147"/>
      <c r="G40" s="147" t="s">
        <v>48</v>
      </c>
      <c r="H40" s="58">
        <f xml:space="preserve"> SUM(J40:O40)</f>
        <v>2288437</v>
      </c>
      <c r="J40" s="147">
        <v>802858</v>
      </c>
      <c r="K40" s="147">
        <v>251575</v>
      </c>
      <c r="L40" s="147">
        <v>120865</v>
      </c>
      <c r="M40" s="147">
        <v>720680</v>
      </c>
      <c r="N40" s="148">
        <v>194314</v>
      </c>
      <c r="O40" s="7">
        <v>198145</v>
      </c>
      <c r="P40" s="148"/>
      <c r="Q40" s="148"/>
      <c r="R40" s="148"/>
      <c r="S40" s="148"/>
      <c r="T40" s="148"/>
      <c r="U40" s="148"/>
      <c r="V40" s="148"/>
      <c r="W40" s="148"/>
    </row>
    <row r="41" spans="1:23" ht="15">
      <c r="A41" s="142"/>
      <c r="B41" s="143"/>
      <c r="C41" s="143"/>
      <c r="D41" s="144"/>
      <c r="E41" s="149" t="s">
        <v>84</v>
      </c>
      <c r="F41" s="150"/>
      <c r="G41" s="150" t="s">
        <v>48</v>
      </c>
      <c r="H41" s="58">
        <f xml:space="preserve"> SUM(J41:W41)</f>
        <v>36299697</v>
      </c>
      <c r="J41" s="150">
        <f>SUM(J38:J40)</f>
        <v>4623268</v>
      </c>
      <c r="K41" s="150">
        <f t="shared" ref="K41:W41" si="13">SUM(K38:K40)</f>
        <v>4244326</v>
      </c>
      <c r="L41" s="150">
        <f t="shared" si="13"/>
        <v>4804289</v>
      </c>
      <c r="M41" s="150">
        <f t="shared" si="13"/>
        <v>6979714</v>
      </c>
      <c r="N41" s="150">
        <f t="shared" si="13"/>
        <v>7129828</v>
      </c>
      <c r="O41" s="150">
        <f t="shared" si="13"/>
        <v>8518272</v>
      </c>
      <c r="P41" s="150">
        <f t="shared" si="13"/>
        <v>0</v>
      </c>
      <c r="Q41" s="150">
        <f t="shared" si="13"/>
        <v>0</v>
      </c>
      <c r="R41" s="150">
        <f t="shared" si="13"/>
        <v>0</v>
      </c>
      <c r="S41" s="150">
        <f t="shared" si="13"/>
        <v>0</v>
      </c>
      <c r="T41" s="150">
        <f t="shared" si="13"/>
        <v>0</v>
      </c>
      <c r="U41" s="150">
        <f t="shared" si="13"/>
        <v>0</v>
      </c>
      <c r="V41" s="150">
        <f t="shared" si="13"/>
        <v>0</v>
      </c>
      <c r="W41" s="150">
        <f t="shared" si="13"/>
        <v>0</v>
      </c>
    </row>
    <row r="42" spans="1:23" ht="15">
      <c r="A42" s="142"/>
      <c r="B42" s="143"/>
      <c r="C42" s="143"/>
      <c r="D42" s="144"/>
      <c r="E42" s="143" t="s">
        <v>67</v>
      </c>
      <c r="F42" s="157"/>
      <c r="G42" s="157"/>
      <c r="J42" s="157"/>
      <c r="K42" s="157"/>
      <c r="L42" s="157"/>
      <c r="M42" s="157"/>
      <c r="N42" s="165"/>
      <c r="O42" s="165"/>
      <c r="P42" s="165"/>
      <c r="Q42" s="165"/>
      <c r="R42" s="165"/>
      <c r="S42" s="165"/>
      <c r="T42" s="165"/>
      <c r="U42" s="165"/>
      <c r="V42" s="165"/>
      <c r="W42" s="165"/>
    </row>
    <row r="43" spans="1:23" ht="15.75" thickBot="1">
      <c r="A43" s="142"/>
      <c r="B43" s="143"/>
      <c r="C43" s="143"/>
      <c r="D43" s="144"/>
      <c r="E43" s="160" t="s">
        <v>85</v>
      </c>
      <c r="F43" s="161"/>
      <c r="G43" s="161" t="s">
        <v>48</v>
      </c>
      <c r="H43" s="58">
        <f xml:space="preserve"> SUM(J43:W43)</f>
        <v>77850042</v>
      </c>
      <c r="J43" s="161">
        <f t="shared" ref="J43:W43" si="14" xml:space="preserve"> J35 + J41</f>
        <v>10307602</v>
      </c>
      <c r="K43" s="161">
        <f t="shared" si="14"/>
        <v>10543998</v>
      </c>
      <c r="L43" s="161">
        <f t="shared" si="14"/>
        <v>11113428</v>
      </c>
      <c r="M43" s="161">
        <f t="shared" si="14"/>
        <v>13736054</v>
      </c>
      <c r="N43" s="161">
        <f t="shared" si="14"/>
        <v>15176495</v>
      </c>
      <c r="O43" s="161">
        <f t="shared" si="14"/>
        <v>16972465</v>
      </c>
      <c r="P43" s="161">
        <f t="shared" si="14"/>
        <v>0</v>
      </c>
      <c r="Q43" s="161">
        <f t="shared" si="14"/>
        <v>0</v>
      </c>
      <c r="R43" s="161">
        <f t="shared" si="14"/>
        <v>0</v>
      </c>
      <c r="S43" s="161">
        <f t="shared" si="14"/>
        <v>0</v>
      </c>
      <c r="T43" s="161">
        <f t="shared" si="14"/>
        <v>0</v>
      </c>
      <c r="U43" s="161">
        <f t="shared" si="14"/>
        <v>0</v>
      </c>
      <c r="V43" s="161">
        <f t="shared" si="14"/>
        <v>0</v>
      </c>
      <c r="W43" s="161">
        <f t="shared" si="14"/>
        <v>0</v>
      </c>
    </row>
    <row r="44" spans="1:23" ht="15.75" thickTop="1">
      <c r="A44" s="142"/>
      <c r="B44" s="143"/>
      <c r="C44" s="143"/>
      <c r="D44" s="144"/>
      <c r="E44" s="143"/>
      <c r="F44" s="157"/>
      <c r="G44" s="157"/>
      <c r="J44" s="157"/>
      <c r="K44" s="157"/>
      <c r="L44" s="157"/>
      <c r="M44" s="157"/>
      <c r="N44" s="165"/>
      <c r="O44" s="165"/>
      <c r="P44" s="165"/>
      <c r="Q44" s="165"/>
      <c r="R44" s="165"/>
      <c r="S44" s="165"/>
      <c r="T44" s="165"/>
      <c r="U44" s="165"/>
      <c r="V44" s="165"/>
      <c r="W44" s="165"/>
    </row>
    <row r="45" spans="1:23" ht="15">
      <c r="A45" s="142"/>
      <c r="B45" s="143"/>
      <c r="C45" s="143" t="s">
        <v>52</v>
      </c>
      <c r="D45" s="144"/>
      <c r="E45" s="146"/>
      <c r="F45" s="147"/>
      <c r="G45" s="147"/>
      <c r="J45" s="147"/>
      <c r="K45" s="147"/>
      <c r="L45" s="147"/>
      <c r="M45" s="147"/>
      <c r="N45" s="148"/>
      <c r="O45" s="148"/>
      <c r="P45" s="148"/>
      <c r="Q45" s="148"/>
      <c r="R45" s="148"/>
      <c r="S45" s="148"/>
      <c r="T45" s="148"/>
      <c r="U45" s="148"/>
      <c r="V45" s="148"/>
      <c r="W45" s="148"/>
    </row>
    <row r="46" spans="1:23" ht="15">
      <c r="A46" s="142"/>
      <c r="B46" s="143"/>
      <c r="C46" s="143"/>
      <c r="D46" s="144"/>
      <c r="E46" s="145" t="s">
        <v>111</v>
      </c>
      <c r="F46" s="147"/>
      <c r="G46" s="147" t="s">
        <v>48</v>
      </c>
      <c r="H46" s="58">
        <f xml:space="preserve"> SUM(J46:O46)</f>
        <v>13200000</v>
      </c>
      <c r="J46" s="147">
        <v>2200000</v>
      </c>
      <c r="K46" s="147">
        <v>2200000</v>
      </c>
      <c r="L46" s="147">
        <v>2200000</v>
      </c>
      <c r="M46" s="147">
        <v>2200000</v>
      </c>
      <c r="N46" s="148">
        <v>2200000</v>
      </c>
      <c r="O46" s="148">
        <v>2200000</v>
      </c>
      <c r="P46" s="148"/>
      <c r="Q46" s="148"/>
      <c r="R46" s="148"/>
      <c r="S46" s="148"/>
      <c r="T46" s="148"/>
      <c r="U46" s="148"/>
      <c r="V46" s="148"/>
      <c r="W46" s="148"/>
    </row>
    <row r="47" spans="1:23" ht="15">
      <c r="A47" s="142"/>
      <c r="B47" s="143"/>
      <c r="C47" s="143"/>
      <c r="D47" s="144"/>
      <c r="E47" s="145" t="s">
        <v>86</v>
      </c>
      <c r="F47" s="147"/>
      <c r="G47" s="147" t="s">
        <v>48</v>
      </c>
      <c r="H47" s="58">
        <f xml:space="preserve"> SUM(J47:O47)</f>
        <v>10911625</v>
      </c>
      <c r="J47" s="147">
        <v>1443645</v>
      </c>
      <c r="K47" s="147">
        <v>2472076</v>
      </c>
      <c r="L47" s="147">
        <v>1464312</v>
      </c>
      <c r="M47" s="147">
        <v>1512067</v>
      </c>
      <c r="N47" s="148">
        <v>1997917</v>
      </c>
      <c r="O47" s="7">
        <v>2021608</v>
      </c>
      <c r="P47" s="148"/>
      <c r="Q47" s="148"/>
      <c r="R47" s="148"/>
      <c r="S47" s="148"/>
      <c r="T47" s="148"/>
      <c r="U47" s="148"/>
      <c r="V47" s="148"/>
      <c r="W47" s="148"/>
    </row>
    <row r="48" spans="1:23" ht="15">
      <c r="A48" s="142"/>
      <c r="B48" s="143"/>
      <c r="C48" s="143"/>
      <c r="D48" s="144"/>
      <c r="E48" s="145" t="s">
        <v>87</v>
      </c>
      <c r="F48" s="147"/>
      <c r="G48" s="147" t="s">
        <v>48</v>
      </c>
      <c r="H48" s="58">
        <f xml:space="preserve"> SUM(J48:O48)</f>
        <v>11650000</v>
      </c>
      <c r="J48" s="147">
        <v>1250000</v>
      </c>
      <c r="K48" s="147">
        <v>0</v>
      </c>
      <c r="L48" s="147">
        <v>1450000</v>
      </c>
      <c r="M48" s="147">
        <v>2700000</v>
      </c>
      <c r="N48" s="148">
        <v>2900000</v>
      </c>
      <c r="O48" s="7">
        <v>3350000</v>
      </c>
      <c r="P48" s="148"/>
      <c r="Q48" s="148"/>
      <c r="R48" s="148"/>
      <c r="S48" s="148"/>
      <c r="T48" s="148"/>
      <c r="U48" s="148"/>
      <c r="V48" s="148"/>
      <c r="W48" s="148"/>
    </row>
    <row r="49" spans="1:23" ht="15">
      <c r="A49" s="142"/>
      <c r="B49" s="143"/>
      <c r="C49" s="143"/>
      <c r="D49" s="144"/>
      <c r="E49" s="151" t="s">
        <v>88</v>
      </c>
      <c r="F49" s="152"/>
      <c r="G49" s="152" t="s">
        <v>48</v>
      </c>
      <c r="H49" s="58">
        <f xml:space="preserve"> SUM(J49:W49)</f>
        <v>35761625</v>
      </c>
      <c r="J49" s="152">
        <f t="shared" ref="J49:W49" si="15">SUM(J46:J48)</f>
        <v>4893645</v>
      </c>
      <c r="K49" s="152">
        <f t="shared" si="15"/>
        <v>4672076</v>
      </c>
      <c r="L49" s="152">
        <f t="shared" si="15"/>
        <v>5114312</v>
      </c>
      <c r="M49" s="152">
        <f t="shared" si="15"/>
        <v>6412067</v>
      </c>
      <c r="N49" s="152">
        <f t="shared" si="15"/>
        <v>7097917</v>
      </c>
      <c r="O49" s="152">
        <f t="shared" si="15"/>
        <v>7571608</v>
      </c>
      <c r="P49" s="152">
        <f t="shared" si="15"/>
        <v>0</v>
      </c>
      <c r="Q49" s="152">
        <f t="shared" si="15"/>
        <v>0</v>
      </c>
      <c r="R49" s="152">
        <f t="shared" si="15"/>
        <v>0</v>
      </c>
      <c r="S49" s="152">
        <f t="shared" si="15"/>
        <v>0</v>
      </c>
      <c r="T49" s="152">
        <f t="shared" si="15"/>
        <v>0</v>
      </c>
      <c r="U49" s="152">
        <f t="shared" si="15"/>
        <v>0</v>
      </c>
      <c r="V49" s="152">
        <f t="shared" si="15"/>
        <v>0</v>
      </c>
      <c r="W49" s="152">
        <f t="shared" si="15"/>
        <v>0</v>
      </c>
    </row>
    <row r="50" spans="1:23" ht="15">
      <c r="A50" s="142"/>
      <c r="B50" s="143"/>
      <c r="C50" s="143"/>
      <c r="D50" s="144"/>
      <c r="E50" s="145" t="s">
        <v>67</v>
      </c>
      <c r="F50" s="147"/>
      <c r="G50" s="147"/>
      <c r="J50" s="147"/>
      <c r="K50" s="147"/>
      <c r="L50" s="147"/>
      <c r="M50" s="147"/>
      <c r="N50" s="148"/>
      <c r="O50" s="148"/>
      <c r="P50" s="148"/>
      <c r="Q50" s="148"/>
      <c r="R50" s="148"/>
      <c r="S50" s="148"/>
      <c r="T50" s="148"/>
      <c r="U50" s="148"/>
      <c r="V50" s="148"/>
      <c r="W50" s="148"/>
    </row>
    <row r="51" spans="1:23" ht="15">
      <c r="A51" s="142"/>
      <c r="B51" s="143"/>
      <c r="C51" s="143" t="s">
        <v>53</v>
      </c>
      <c r="D51" s="144"/>
      <c r="E51" s="146"/>
      <c r="F51" s="147"/>
      <c r="G51" s="147"/>
      <c r="J51" s="147"/>
      <c r="K51" s="147"/>
      <c r="L51" s="147"/>
      <c r="M51" s="147"/>
      <c r="N51" s="148"/>
      <c r="O51" s="148"/>
      <c r="P51" s="148"/>
      <c r="Q51" s="148"/>
      <c r="R51" s="148"/>
      <c r="S51" s="148"/>
      <c r="T51" s="148"/>
      <c r="U51" s="148"/>
      <c r="V51" s="148"/>
      <c r="W51" s="148"/>
    </row>
    <row r="52" spans="1:23" ht="15">
      <c r="A52" s="142"/>
      <c r="B52" s="143"/>
      <c r="C52" s="143"/>
      <c r="D52" s="144"/>
      <c r="E52" s="145" t="s">
        <v>161</v>
      </c>
      <c r="F52" s="147"/>
      <c r="G52" s="147" t="s">
        <v>48</v>
      </c>
      <c r="H52" s="58">
        <f xml:space="preserve"> SUM(J52:O52)</f>
        <v>4023809</v>
      </c>
      <c r="J52" s="147">
        <v>7545</v>
      </c>
      <c r="K52" s="147">
        <v>299400</v>
      </c>
      <c r="L52" s="147">
        <v>968400</v>
      </c>
      <c r="M52" s="147">
        <v>1024064</v>
      </c>
      <c r="N52" s="148">
        <v>688800</v>
      </c>
      <c r="O52" s="202">
        <v>1035600</v>
      </c>
      <c r="P52" s="148"/>
      <c r="Q52" s="148"/>
      <c r="R52" s="148"/>
      <c r="S52" s="148"/>
      <c r="T52" s="148"/>
      <c r="U52" s="148"/>
      <c r="V52" s="148"/>
      <c r="W52" s="148"/>
    </row>
    <row r="53" spans="1:23" ht="15">
      <c r="A53" s="142"/>
      <c r="B53" s="143"/>
      <c r="C53" s="143"/>
      <c r="D53" s="144"/>
      <c r="E53" s="145" t="s">
        <v>89</v>
      </c>
      <c r="F53" s="147"/>
      <c r="G53" s="147" t="s">
        <v>48</v>
      </c>
      <c r="H53" s="58">
        <f xml:space="preserve"> SUM(J53:O53)</f>
        <v>6750036</v>
      </c>
      <c r="J53" s="147">
        <v>1005979</v>
      </c>
      <c r="K53" s="147">
        <v>939447</v>
      </c>
      <c r="L53" s="147">
        <v>924063</v>
      </c>
      <c r="M53" s="147">
        <v>959294</v>
      </c>
      <c r="N53" s="147">
        <v>1337098</v>
      </c>
      <c r="O53" s="7">
        <v>1584155</v>
      </c>
      <c r="P53" s="147"/>
      <c r="Q53" s="147"/>
      <c r="R53" s="147"/>
      <c r="S53" s="147"/>
      <c r="T53" s="147"/>
      <c r="U53" s="147"/>
      <c r="V53" s="147"/>
      <c r="W53" s="147"/>
    </row>
    <row r="54" spans="1:23" ht="15">
      <c r="A54" s="142"/>
      <c r="B54" s="143"/>
      <c r="C54" s="143"/>
      <c r="D54" s="144"/>
      <c r="E54" s="151" t="s">
        <v>90</v>
      </c>
      <c r="F54" s="152"/>
      <c r="G54" s="152" t="s">
        <v>48</v>
      </c>
      <c r="H54" s="58">
        <f xml:space="preserve"> SUM(J54:W54)</f>
        <v>10773845</v>
      </c>
      <c r="J54" s="152">
        <f t="shared" ref="J54:W54" si="16">SUM(J52:J53)</f>
        <v>1013524</v>
      </c>
      <c r="K54" s="152">
        <f t="shared" si="16"/>
        <v>1238847</v>
      </c>
      <c r="L54" s="152">
        <f t="shared" si="16"/>
        <v>1892463</v>
      </c>
      <c r="M54" s="152">
        <f t="shared" si="16"/>
        <v>1983358</v>
      </c>
      <c r="N54" s="152">
        <f t="shared" si="16"/>
        <v>2025898</v>
      </c>
      <c r="O54" s="152">
        <f t="shared" si="16"/>
        <v>2619755</v>
      </c>
      <c r="P54" s="152">
        <f t="shared" si="16"/>
        <v>0</v>
      </c>
      <c r="Q54" s="152">
        <f t="shared" si="16"/>
        <v>0</v>
      </c>
      <c r="R54" s="152">
        <f t="shared" si="16"/>
        <v>0</v>
      </c>
      <c r="S54" s="152">
        <f t="shared" si="16"/>
        <v>0</v>
      </c>
      <c r="T54" s="152">
        <f t="shared" si="16"/>
        <v>0</v>
      </c>
      <c r="U54" s="152">
        <f t="shared" si="16"/>
        <v>0</v>
      </c>
      <c r="V54" s="152">
        <f t="shared" si="16"/>
        <v>0</v>
      </c>
      <c r="W54" s="152">
        <f t="shared" si="16"/>
        <v>0</v>
      </c>
    </row>
    <row r="55" spans="1:23" ht="15">
      <c r="A55" s="142"/>
      <c r="B55" s="143"/>
      <c r="C55" s="143"/>
      <c r="D55" s="144"/>
      <c r="E55" s="156"/>
      <c r="F55" s="153"/>
      <c r="G55" s="153"/>
      <c r="J55" s="153"/>
      <c r="K55" s="153"/>
      <c r="L55" s="153"/>
      <c r="M55" s="153"/>
      <c r="N55" s="166"/>
      <c r="O55" s="166"/>
      <c r="P55" s="166"/>
      <c r="Q55" s="166"/>
      <c r="R55" s="166"/>
      <c r="S55" s="166"/>
      <c r="T55" s="166"/>
      <c r="U55" s="166"/>
      <c r="V55" s="166"/>
      <c r="W55" s="166"/>
    </row>
    <row r="56" spans="1:23" ht="15">
      <c r="A56" s="142"/>
      <c r="B56" s="143"/>
      <c r="C56" s="143" t="s">
        <v>54</v>
      </c>
      <c r="D56" s="144"/>
      <c r="E56" s="146"/>
      <c r="F56" s="147"/>
      <c r="G56" s="147"/>
      <c r="J56" s="147"/>
      <c r="K56" s="147"/>
      <c r="L56" s="147"/>
      <c r="M56" s="147"/>
      <c r="N56" s="147"/>
      <c r="O56" s="147"/>
      <c r="P56" s="148"/>
      <c r="Q56" s="148"/>
      <c r="R56" s="148"/>
      <c r="S56" s="148"/>
      <c r="T56" s="148"/>
      <c r="U56" s="148"/>
      <c r="V56" s="148"/>
      <c r="W56" s="148"/>
    </row>
    <row r="57" spans="1:23" ht="15">
      <c r="A57" s="142"/>
      <c r="B57" s="143"/>
      <c r="C57" s="143"/>
      <c r="D57" s="144"/>
      <c r="E57" s="145" t="s">
        <v>114</v>
      </c>
      <c r="F57" s="147"/>
      <c r="G57" s="147" t="s">
        <v>48</v>
      </c>
      <c r="J57" s="147">
        <v>3161099</v>
      </c>
      <c r="K57" s="147">
        <v>3259873</v>
      </c>
      <c r="L57" s="147">
        <v>3570614</v>
      </c>
      <c r="M57" s="147">
        <v>5319023</v>
      </c>
      <c r="N57" s="148">
        <v>6014498</v>
      </c>
      <c r="O57" s="148">
        <v>6289448</v>
      </c>
      <c r="P57" s="148"/>
      <c r="Q57" s="148"/>
      <c r="R57" s="148"/>
      <c r="S57" s="148"/>
      <c r="T57" s="148"/>
      <c r="U57" s="148"/>
      <c r="V57" s="148"/>
      <c r="W57" s="148"/>
    </row>
    <row r="58" spans="1:23" s="78" customFormat="1" ht="15">
      <c r="A58" s="207"/>
      <c r="B58" s="198"/>
      <c r="C58" s="198"/>
      <c r="D58" s="199"/>
      <c r="E58" s="200" t="s">
        <v>113</v>
      </c>
      <c r="F58" s="201"/>
      <c r="G58" s="201" t="s">
        <v>48</v>
      </c>
      <c r="J58" s="201">
        <v>1239334</v>
      </c>
      <c r="K58" s="201">
        <v>1373202</v>
      </c>
      <c r="L58" s="201">
        <v>536039</v>
      </c>
      <c r="M58" s="201">
        <v>21606</v>
      </c>
      <c r="N58" s="208">
        <v>38182</v>
      </c>
      <c r="O58" s="78">
        <v>491654</v>
      </c>
    </row>
    <row r="59" spans="1:23" ht="15">
      <c r="A59" s="142"/>
      <c r="B59" s="143"/>
      <c r="C59" s="143"/>
      <c r="D59" s="144"/>
      <c r="E59" s="151" t="s">
        <v>91</v>
      </c>
      <c r="F59" s="152"/>
      <c r="G59" s="152" t="s">
        <v>48</v>
      </c>
      <c r="J59" s="152">
        <f t="shared" ref="J59:O59" si="17">SUM(J57:J58)</f>
        <v>4400433</v>
      </c>
      <c r="K59" s="152">
        <f t="shared" si="17"/>
        <v>4633075</v>
      </c>
      <c r="L59" s="152">
        <f t="shared" si="17"/>
        <v>4106653</v>
      </c>
      <c r="M59" s="152">
        <f t="shared" si="17"/>
        <v>5340629</v>
      </c>
      <c r="N59" s="152">
        <f t="shared" si="17"/>
        <v>6052680</v>
      </c>
      <c r="O59" s="152">
        <f t="shared" si="17"/>
        <v>6781102</v>
      </c>
      <c r="P59" s="152">
        <f t="shared" ref="P59:W59" si="18">SUM(P57:P58)</f>
        <v>0</v>
      </c>
      <c r="Q59" s="152">
        <f t="shared" si="18"/>
        <v>0</v>
      </c>
      <c r="R59" s="152">
        <f t="shared" si="18"/>
        <v>0</v>
      </c>
      <c r="S59" s="152">
        <f t="shared" si="18"/>
        <v>0</v>
      </c>
      <c r="T59" s="152">
        <f t="shared" si="18"/>
        <v>0</v>
      </c>
      <c r="U59" s="152">
        <f t="shared" si="18"/>
        <v>0</v>
      </c>
      <c r="V59" s="152">
        <f t="shared" si="18"/>
        <v>0</v>
      </c>
      <c r="W59" s="152">
        <f t="shared" si="18"/>
        <v>0</v>
      </c>
    </row>
    <row r="60" spans="1:23" ht="15">
      <c r="A60" s="142"/>
      <c r="B60" s="143"/>
      <c r="C60" s="143"/>
      <c r="D60" s="144"/>
      <c r="E60" s="156" t="s">
        <v>67</v>
      </c>
      <c r="F60" s="153"/>
      <c r="G60" s="153"/>
      <c r="J60" s="153"/>
      <c r="K60" s="153"/>
      <c r="L60" s="153"/>
      <c r="M60" s="153"/>
      <c r="N60" s="166"/>
      <c r="O60" s="166"/>
      <c r="P60" s="166"/>
      <c r="Q60" s="166"/>
      <c r="R60" s="166"/>
      <c r="S60" s="166"/>
      <c r="T60" s="166"/>
      <c r="U60" s="166"/>
      <c r="V60" s="166"/>
      <c r="W60" s="166"/>
    </row>
    <row r="61" spans="1:23" ht="15">
      <c r="A61" s="142"/>
      <c r="B61" s="143"/>
      <c r="C61" s="143"/>
      <c r="D61" s="144"/>
      <c r="E61" s="156" t="s">
        <v>92</v>
      </c>
      <c r="F61" s="153"/>
      <c r="G61" s="153" t="s">
        <v>48</v>
      </c>
      <c r="J61" s="153">
        <f t="shared" ref="J61:W61" si="19" xml:space="preserve"> J54 + J59</f>
        <v>5413957</v>
      </c>
      <c r="K61" s="153">
        <f t="shared" si="19"/>
        <v>5871922</v>
      </c>
      <c r="L61" s="153">
        <f t="shared" si="19"/>
        <v>5999116</v>
      </c>
      <c r="M61" s="153">
        <f t="shared" si="19"/>
        <v>7323987</v>
      </c>
      <c r="N61" s="153">
        <f t="shared" si="19"/>
        <v>8078578</v>
      </c>
      <c r="O61" s="153">
        <f t="shared" si="19"/>
        <v>9400857</v>
      </c>
      <c r="P61" s="153">
        <f t="shared" si="19"/>
        <v>0</v>
      </c>
      <c r="Q61" s="153">
        <f t="shared" si="19"/>
        <v>0</v>
      </c>
      <c r="R61" s="153">
        <f t="shared" si="19"/>
        <v>0</v>
      </c>
      <c r="S61" s="153">
        <f t="shared" si="19"/>
        <v>0</v>
      </c>
      <c r="T61" s="153">
        <f t="shared" si="19"/>
        <v>0</v>
      </c>
      <c r="U61" s="153">
        <f t="shared" si="19"/>
        <v>0</v>
      </c>
      <c r="V61" s="153">
        <f t="shared" si="19"/>
        <v>0</v>
      </c>
      <c r="W61" s="153">
        <f t="shared" si="19"/>
        <v>0</v>
      </c>
    </row>
    <row r="62" spans="1:23" ht="15">
      <c r="A62" s="142"/>
      <c r="B62" s="143"/>
      <c r="C62" s="143"/>
      <c r="D62" s="144"/>
      <c r="E62" s="156" t="s">
        <v>67</v>
      </c>
      <c r="F62" s="153"/>
      <c r="G62" s="153"/>
      <c r="J62" s="153"/>
      <c r="K62" s="153"/>
      <c r="L62" s="153"/>
      <c r="M62" s="153"/>
      <c r="N62" s="166"/>
      <c r="O62" s="166"/>
      <c r="P62" s="166"/>
      <c r="Q62" s="166"/>
      <c r="R62" s="166"/>
      <c r="S62" s="166"/>
      <c r="T62" s="166"/>
      <c r="U62" s="166"/>
      <c r="V62" s="166"/>
      <c r="W62" s="166"/>
    </row>
    <row r="63" spans="1:23" ht="15.75" thickBot="1">
      <c r="A63" s="142"/>
      <c r="B63" s="143"/>
      <c r="C63" s="143"/>
      <c r="D63" s="144"/>
      <c r="E63" s="160" t="s">
        <v>93</v>
      </c>
      <c r="F63" s="161"/>
      <c r="G63" s="161" t="s">
        <v>48</v>
      </c>
      <c r="J63" s="161">
        <f t="shared" ref="J63:W63" si="20" xml:space="preserve"> J49 + J61</f>
        <v>10307602</v>
      </c>
      <c r="K63" s="161">
        <f t="shared" si="20"/>
        <v>10543998</v>
      </c>
      <c r="L63" s="161">
        <f t="shared" si="20"/>
        <v>11113428</v>
      </c>
      <c r="M63" s="161">
        <f t="shared" si="20"/>
        <v>13736054</v>
      </c>
      <c r="N63" s="161">
        <f t="shared" si="20"/>
        <v>15176495</v>
      </c>
      <c r="O63" s="161">
        <f t="shared" si="20"/>
        <v>16972465</v>
      </c>
      <c r="P63" s="161">
        <f t="shared" si="20"/>
        <v>0</v>
      </c>
      <c r="Q63" s="161">
        <f t="shared" si="20"/>
        <v>0</v>
      </c>
      <c r="R63" s="161">
        <f t="shared" si="20"/>
        <v>0</v>
      </c>
      <c r="S63" s="161">
        <f t="shared" si="20"/>
        <v>0</v>
      </c>
      <c r="T63" s="161">
        <f t="shared" si="20"/>
        <v>0</v>
      </c>
      <c r="U63" s="161">
        <f t="shared" si="20"/>
        <v>0</v>
      </c>
      <c r="V63" s="161">
        <f t="shared" si="20"/>
        <v>0</v>
      </c>
      <c r="W63" s="161">
        <f t="shared" si="20"/>
        <v>0</v>
      </c>
    </row>
    <row r="64" spans="1:23" ht="15.75" thickTop="1">
      <c r="A64" s="142"/>
      <c r="B64" s="143"/>
      <c r="C64" s="143"/>
      <c r="D64" s="144"/>
      <c r="E64" s="145" t="s">
        <v>67</v>
      </c>
      <c r="F64" s="147"/>
      <c r="G64" s="147"/>
      <c r="J64" s="147"/>
      <c r="K64" s="147"/>
      <c r="L64" s="147"/>
      <c r="M64" s="147"/>
      <c r="N64" s="148"/>
      <c r="O64" s="148"/>
      <c r="P64" s="148"/>
      <c r="Q64" s="148"/>
      <c r="R64" s="148"/>
      <c r="S64" s="148"/>
      <c r="T64" s="148"/>
      <c r="U64" s="148"/>
      <c r="V64" s="148"/>
      <c r="W64" s="148"/>
    </row>
    <row r="65" spans="1:23" ht="15">
      <c r="A65" s="142"/>
      <c r="B65" s="143"/>
      <c r="C65" s="143"/>
      <c r="D65" s="144"/>
      <c r="E65" s="167" t="s">
        <v>94</v>
      </c>
      <c r="F65" s="168">
        <v>0</v>
      </c>
      <c r="G65" s="168" t="s">
        <v>48</v>
      </c>
      <c r="J65" s="168">
        <f xml:space="preserve"> J43 - J63</f>
        <v>0</v>
      </c>
      <c r="K65" s="168">
        <f xml:space="preserve"> K43 - K63</f>
        <v>0</v>
      </c>
      <c r="L65" s="168">
        <f xml:space="preserve"> L43 - L63</f>
        <v>0</v>
      </c>
      <c r="M65" s="168">
        <f xml:space="preserve"> M43 - M63</f>
        <v>0</v>
      </c>
      <c r="N65" s="168">
        <f xml:space="preserve"> N43 - N63</f>
        <v>0</v>
      </c>
      <c r="O65" s="168"/>
      <c r="P65" s="168"/>
      <c r="Q65" s="168"/>
      <c r="R65" s="168"/>
      <c r="S65" s="168"/>
      <c r="T65" s="168"/>
      <c r="U65" s="168"/>
      <c r="V65" s="168"/>
      <c r="W65" s="168"/>
    </row>
    <row r="66" spans="1:23">
      <c r="A66" s="169" t="s">
        <v>55</v>
      </c>
      <c r="B66" s="170"/>
      <c r="C66" s="171"/>
      <c r="D66" s="172"/>
      <c r="E66" s="173"/>
      <c r="F66" s="173"/>
      <c r="G66" s="173"/>
      <c r="J66" s="174"/>
      <c r="K66" s="174"/>
      <c r="L66" s="174"/>
      <c r="M66" s="174"/>
      <c r="N66" s="174"/>
      <c r="O66" s="174"/>
      <c r="P66" s="174"/>
      <c r="Q66" s="174"/>
      <c r="R66" s="174"/>
      <c r="S66" s="174"/>
      <c r="T66" s="174"/>
      <c r="U66" s="174"/>
      <c r="V66" s="174"/>
      <c r="W66" s="174"/>
    </row>
    <row r="67" spans="1:23">
      <c r="A67" s="169"/>
      <c r="B67" s="170"/>
      <c r="C67" s="171"/>
      <c r="D67" s="172"/>
      <c r="E67" s="173" t="s">
        <v>67</v>
      </c>
      <c r="F67" s="173"/>
      <c r="G67" s="173"/>
      <c r="J67" s="174"/>
      <c r="K67" s="174"/>
      <c r="L67" s="174"/>
      <c r="M67" s="174"/>
      <c r="N67" s="174"/>
      <c r="O67" s="174"/>
      <c r="P67" s="174"/>
      <c r="Q67" s="174"/>
      <c r="R67" s="174"/>
      <c r="S67" s="174"/>
      <c r="T67" s="174"/>
      <c r="U67" s="174"/>
      <c r="V67" s="174"/>
      <c r="W67" s="174"/>
    </row>
    <row r="68" spans="1:23">
      <c r="A68" s="169"/>
      <c r="B68" s="170"/>
      <c r="C68" s="171"/>
      <c r="D68" s="173"/>
      <c r="E68" s="175" t="s">
        <v>95</v>
      </c>
      <c r="F68" s="173"/>
      <c r="G68" s="174" t="s">
        <v>48</v>
      </c>
      <c r="J68" s="173">
        <f t="shared" ref="J68:W68" si="21" xml:space="preserve"> J43 - J63</f>
        <v>0</v>
      </c>
      <c r="K68" s="173">
        <f t="shared" si="21"/>
        <v>0</v>
      </c>
      <c r="L68" s="173">
        <f t="shared" si="21"/>
        <v>0</v>
      </c>
      <c r="M68" s="173">
        <f t="shared" si="21"/>
        <v>0</v>
      </c>
      <c r="N68" s="173">
        <f t="shared" si="21"/>
        <v>0</v>
      </c>
      <c r="O68" s="173">
        <f t="shared" si="21"/>
        <v>0</v>
      </c>
      <c r="P68" s="173">
        <f t="shared" si="21"/>
        <v>0</v>
      </c>
      <c r="Q68" s="173">
        <f t="shared" si="21"/>
        <v>0</v>
      </c>
      <c r="R68" s="173">
        <f t="shared" si="21"/>
        <v>0</v>
      </c>
      <c r="S68" s="173">
        <f t="shared" si="21"/>
        <v>0</v>
      </c>
      <c r="T68" s="173">
        <f t="shared" si="21"/>
        <v>0</v>
      </c>
      <c r="U68" s="173">
        <f t="shared" si="21"/>
        <v>0</v>
      </c>
      <c r="V68" s="173">
        <f t="shared" si="21"/>
        <v>0</v>
      </c>
      <c r="W68" s="173">
        <f t="shared" si="21"/>
        <v>0</v>
      </c>
    </row>
    <row r="69" spans="1:23">
      <c r="A69" s="169"/>
      <c r="B69" s="170"/>
      <c r="C69" s="171"/>
      <c r="D69" s="172"/>
      <c r="E69" s="173" t="s">
        <v>96</v>
      </c>
      <c r="F69" s="176">
        <f xml:space="preserve"> IF(SUM(J69:W69) &lt;&gt; 0, 1, 0)</f>
        <v>0</v>
      </c>
      <c r="G69" s="173" t="s">
        <v>56</v>
      </c>
      <c r="J69" s="176">
        <f xml:space="preserve"> IF( ABS(J68) &gt; 0.001, 1, 0)</f>
        <v>0</v>
      </c>
      <c r="K69" s="176">
        <f t="shared" ref="K69:O69" si="22" xml:space="preserve"> IF( ABS(K68) &gt; 0.001, 1, 0)</f>
        <v>0</v>
      </c>
      <c r="L69" s="176">
        <f t="shared" si="22"/>
        <v>0</v>
      </c>
      <c r="M69" s="176">
        <f t="shared" si="22"/>
        <v>0</v>
      </c>
      <c r="N69" s="176">
        <f t="shared" si="22"/>
        <v>0</v>
      </c>
      <c r="O69" s="176">
        <f t="shared" si="22"/>
        <v>0</v>
      </c>
      <c r="P69" s="176">
        <f t="shared" ref="P69" si="23" xml:space="preserve"> IF( ABS(P68) &gt; 0.001, 1, 0)</f>
        <v>0</v>
      </c>
      <c r="Q69" s="176">
        <f t="shared" ref="Q69" si="24" xml:space="preserve"> IF( ABS(Q68) &gt; 0.001, 1, 0)</f>
        <v>0</v>
      </c>
      <c r="R69" s="176">
        <f t="shared" ref="R69" si="25" xml:space="preserve"> IF( ABS(R68) &gt; 0.001, 1, 0)</f>
        <v>0</v>
      </c>
      <c r="S69" s="176">
        <f t="shared" ref="S69" si="26" xml:space="preserve"> IF( ABS(S68) &gt; 0.001, 1, 0)</f>
        <v>0</v>
      </c>
      <c r="T69" s="176">
        <f t="shared" ref="T69" si="27" xml:space="preserve"> IF( ABS(T68) &gt; 0.001, 1, 0)</f>
        <v>0</v>
      </c>
      <c r="U69" s="176">
        <f t="shared" ref="U69" si="28" xml:space="preserve"> IF( ABS(U68) &gt; 0.001, 1, 0)</f>
        <v>0</v>
      </c>
      <c r="V69" s="176">
        <f t="shared" ref="V69" si="29" xml:space="preserve"> IF( ABS(V68) &gt; 0.001, 1, 0)</f>
        <v>0</v>
      </c>
      <c r="W69" s="176">
        <f t="shared" ref="W69" si="30" xml:space="preserve"> IF( ABS(W68) &gt; 0.001, 1, 0)</f>
        <v>0</v>
      </c>
    </row>
    <row r="70" spans="1:23" ht="15">
      <c r="A70" s="142"/>
      <c r="B70" s="143"/>
      <c r="C70" s="143"/>
      <c r="D70" s="144"/>
      <c r="E70" s="146" t="s">
        <v>67</v>
      </c>
      <c r="F70" s="147"/>
      <c r="G70" s="147"/>
      <c r="J70" s="147"/>
      <c r="K70" s="147"/>
      <c r="L70" s="147"/>
      <c r="M70" s="147"/>
      <c r="N70" s="148"/>
      <c r="O70" s="148"/>
      <c r="P70" s="148"/>
      <c r="Q70" s="148"/>
      <c r="R70" s="148"/>
      <c r="S70" s="148"/>
      <c r="T70" s="148"/>
      <c r="U70" s="148"/>
      <c r="V70" s="148"/>
      <c r="W70" s="148"/>
    </row>
    <row r="71" spans="1:23" s="277" customFormat="1" ht="15">
      <c r="A71" s="273"/>
      <c r="B71" s="274" t="s">
        <v>57</v>
      </c>
      <c r="C71" s="274"/>
      <c r="D71" s="275"/>
      <c r="E71" s="280"/>
      <c r="F71" s="269"/>
      <c r="G71" s="269"/>
      <c r="J71" s="269"/>
      <c r="K71" s="269"/>
      <c r="L71" s="269"/>
      <c r="M71" s="269"/>
      <c r="N71" s="272"/>
      <c r="O71" s="272"/>
      <c r="P71" s="272"/>
      <c r="Q71" s="272"/>
      <c r="R71" s="272"/>
      <c r="S71" s="272"/>
      <c r="T71" s="272"/>
      <c r="U71" s="272"/>
      <c r="V71" s="272"/>
      <c r="W71" s="272"/>
    </row>
    <row r="72" spans="1:23" ht="15">
      <c r="A72" s="142"/>
      <c r="B72" s="143"/>
      <c r="C72" s="143"/>
      <c r="D72" s="144"/>
      <c r="E72" s="146"/>
      <c r="F72" s="147"/>
      <c r="G72" s="147"/>
      <c r="J72" s="147"/>
      <c r="K72" s="147"/>
      <c r="L72" s="147"/>
      <c r="M72" s="147"/>
      <c r="N72" s="148"/>
      <c r="O72" s="148"/>
      <c r="P72" s="148"/>
      <c r="Q72" s="148"/>
      <c r="R72" s="148"/>
      <c r="S72" s="148"/>
      <c r="T72" s="148"/>
      <c r="U72" s="148"/>
      <c r="V72" s="148"/>
      <c r="W72" s="148"/>
    </row>
    <row r="73" spans="1:23" ht="15">
      <c r="A73" s="142"/>
      <c r="B73" s="143"/>
      <c r="C73" s="143" t="s">
        <v>58</v>
      </c>
      <c r="D73" s="144"/>
      <c r="E73" s="146"/>
      <c r="F73" s="147"/>
      <c r="G73" s="147"/>
      <c r="J73" s="146"/>
      <c r="K73" s="146"/>
      <c r="L73" s="146"/>
      <c r="M73" s="146"/>
      <c r="N73" s="148"/>
      <c r="O73" s="148"/>
      <c r="P73" s="148"/>
      <c r="Q73" s="148"/>
      <c r="R73" s="148"/>
      <c r="S73" s="148"/>
      <c r="T73" s="148"/>
      <c r="U73" s="148"/>
      <c r="V73" s="148"/>
      <c r="W73" s="148"/>
    </row>
    <row r="74" spans="1:23" ht="15">
      <c r="A74" s="142"/>
      <c r="B74" s="143"/>
      <c r="C74" s="143"/>
      <c r="D74" s="144"/>
      <c r="E74" s="145" t="str">
        <f xml:space="preserve"> E$19</f>
        <v>EBITDA</v>
      </c>
      <c r="F74" s="147">
        <f t="shared" ref="F74:W74" si="31" xml:space="preserve"> F$19</f>
        <v>0</v>
      </c>
      <c r="G74" s="147" t="str">
        <f t="shared" si="31"/>
        <v>Kes '000'</v>
      </c>
      <c r="H74" s="58">
        <f t="shared" si="31"/>
        <v>27625410</v>
      </c>
      <c r="I74" s="58">
        <f t="shared" si="31"/>
        <v>0</v>
      </c>
      <c r="J74" s="147">
        <f t="shared" si="31"/>
        <v>3052172</v>
      </c>
      <c r="K74" s="147">
        <f t="shared" si="31"/>
        <v>2821013</v>
      </c>
      <c r="L74" s="147">
        <f t="shared" si="31"/>
        <v>3451479</v>
      </c>
      <c r="M74" s="147">
        <f t="shared" si="31"/>
        <v>6132225</v>
      </c>
      <c r="N74" s="148">
        <f t="shared" si="31"/>
        <v>6058635</v>
      </c>
      <c r="O74" s="148">
        <f t="shared" si="31"/>
        <v>6109886</v>
      </c>
      <c r="P74" s="148">
        <f t="shared" si="31"/>
        <v>0</v>
      </c>
      <c r="Q74" s="148">
        <f t="shared" si="31"/>
        <v>0</v>
      </c>
      <c r="R74" s="148">
        <f t="shared" si="31"/>
        <v>0</v>
      </c>
      <c r="S74" s="148">
        <f t="shared" si="31"/>
        <v>0</v>
      </c>
      <c r="T74" s="148">
        <f t="shared" si="31"/>
        <v>0</v>
      </c>
      <c r="U74" s="148">
        <f t="shared" si="31"/>
        <v>0</v>
      </c>
      <c r="V74" s="148">
        <f t="shared" si="31"/>
        <v>0</v>
      </c>
      <c r="W74" s="148">
        <f t="shared" si="31"/>
        <v>0</v>
      </c>
    </row>
    <row r="75" spans="1:23" ht="15">
      <c r="A75" s="142"/>
      <c r="B75" s="143"/>
      <c r="C75" s="143"/>
      <c r="D75" s="144"/>
      <c r="E75" s="145" t="s">
        <v>173</v>
      </c>
      <c r="F75" s="147"/>
      <c r="G75" s="147" t="s">
        <v>48</v>
      </c>
      <c r="J75" s="147">
        <v>27920</v>
      </c>
      <c r="K75" s="147">
        <v>-109592</v>
      </c>
      <c r="L75" s="147">
        <v>-317482</v>
      </c>
      <c r="M75" s="147">
        <v>189553</v>
      </c>
      <c r="N75" s="148">
        <v>447381</v>
      </c>
      <c r="O75" s="148">
        <v>-1251793</v>
      </c>
      <c r="P75" s="148">
        <v>0</v>
      </c>
      <c r="Q75" s="148">
        <v>0</v>
      </c>
      <c r="R75" s="148">
        <v>0</v>
      </c>
      <c r="S75" s="148">
        <v>0</v>
      </c>
      <c r="T75" s="148">
        <v>0</v>
      </c>
      <c r="U75" s="148">
        <v>0</v>
      </c>
      <c r="V75" s="148">
        <v>0</v>
      </c>
      <c r="W75" s="148">
        <v>0</v>
      </c>
    </row>
    <row r="76" spans="1:23" ht="15">
      <c r="A76" s="142"/>
      <c r="B76" s="143"/>
      <c r="C76" s="143"/>
      <c r="D76" s="144"/>
      <c r="E76" s="145" t="s">
        <v>97</v>
      </c>
      <c r="F76" s="147"/>
      <c r="G76" s="147" t="s">
        <v>48</v>
      </c>
      <c r="J76" s="147">
        <v>-587588</v>
      </c>
      <c r="K76" s="147">
        <v>-967985</v>
      </c>
      <c r="L76" s="147">
        <v>-750731</v>
      </c>
      <c r="M76" s="147">
        <v>-1350923</v>
      </c>
      <c r="N76" s="148">
        <v>-1732218</v>
      </c>
      <c r="O76" s="148">
        <v>-1357077</v>
      </c>
      <c r="P76" s="148"/>
      <c r="Q76" s="148"/>
      <c r="R76" s="148"/>
      <c r="S76" s="148"/>
      <c r="T76" s="148"/>
      <c r="U76" s="148"/>
      <c r="V76" s="148"/>
      <c r="W76" s="148"/>
    </row>
    <row r="77" spans="1:23" s="10" customFormat="1" ht="15">
      <c r="A77" s="159"/>
      <c r="B77" s="143"/>
      <c r="C77" s="143"/>
      <c r="D77" s="143"/>
      <c r="E77" s="195" t="s">
        <v>174</v>
      </c>
      <c r="F77" s="196"/>
      <c r="G77" s="196" t="str">
        <f>smu</f>
        <v>Kes '000'</v>
      </c>
      <c r="J77" s="271">
        <f xml:space="preserve"> SUM(J75:J76, J74)</f>
        <v>2492504</v>
      </c>
      <c r="K77" s="271">
        <f>K74+SUM(K75:K76)</f>
        <v>1743436</v>
      </c>
      <c r="L77" s="271">
        <f>L74+SUM(L75:L76)</f>
        <v>2383266</v>
      </c>
      <c r="M77" s="196">
        <f>M74+SUM(M75:M76)</f>
        <v>4970855</v>
      </c>
      <c r="N77" s="196">
        <f>N74+SUM(N75:N76)</f>
        <v>4773798</v>
      </c>
      <c r="O77" s="196">
        <f>O74+SUM(O75:O76)</f>
        <v>3501016</v>
      </c>
      <c r="P77" s="196">
        <f t="shared" ref="P77:W77" si="32">P74+SUM(P75:P76)</f>
        <v>0</v>
      </c>
      <c r="Q77" s="196">
        <f t="shared" si="32"/>
        <v>0</v>
      </c>
      <c r="R77" s="196">
        <f t="shared" si="32"/>
        <v>0</v>
      </c>
      <c r="S77" s="196">
        <f t="shared" si="32"/>
        <v>0</v>
      </c>
      <c r="T77" s="196">
        <f t="shared" si="32"/>
        <v>0</v>
      </c>
      <c r="U77" s="196">
        <f t="shared" si="32"/>
        <v>0</v>
      </c>
      <c r="V77" s="196">
        <f t="shared" si="32"/>
        <v>0</v>
      </c>
      <c r="W77" s="196">
        <f t="shared" si="32"/>
        <v>0</v>
      </c>
    </row>
    <row r="78" spans="1:23" ht="15">
      <c r="A78" s="142"/>
      <c r="B78" s="143"/>
      <c r="C78" s="143"/>
      <c r="D78" s="144"/>
      <c r="E78" s="268"/>
      <c r="F78" s="268"/>
      <c r="G78" s="268"/>
      <c r="H78" s="268"/>
      <c r="I78" s="268"/>
      <c r="J78" s="146"/>
      <c r="K78" s="268"/>
      <c r="L78" s="268"/>
      <c r="M78" s="268"/>
      <c r="N78" s="268"/>
      <c r="O78" s="268"/>
      <c r="P78" s="268"/>
      <c r="Q78" s="268"/>
      <c r="R78" s="268"/>
      <c r="S78" s="268"/>
      <c r="T78" s="268"/>
      <c r="U78" s="268"/>
      <c r="V78" s="268"/>
      <c r="W78" s="268"/>
    </row>
    <row r="79" spans="1:23" ht="15">
      <c r="A79" s="142"/>
      <c r="B79" s="143"/>
      <c r="C79" s="143" t="s">
        <v>59</v>
      </c>
      <c r="D79" s="144"/>
      <c r="E79" s="146"/>
      <c r="F79" s="147"/>
      <c r="G79" s="147"/>
      <c r="J79" s="147"/>
      <c r="K79" s="147"/>
      <c r="L79" s="147"/>
      <c r="M79" s="147"/>
      <c r="N79" s="148"/>
      <c r="O79" s="148"/>
      <c r="P79" s="148"/>
      <c r="Q79" s="148"/>
      <c r="R79" s="148"/>
      <c r="S79" s="148"/>
      <c r="T79" s="148"/>
      <c r="U79" s="148"/>
      <c r="V79" s="148"/>
      <c r="W79" s="148"/>
    </row>
    <row r="80" spans="1:23" ht="15">
      <c r="A80" s="142"/>
      <c r="B80" s="143"/>
      <c r="C80" s="143"/>
      <c r="D80" s="144"/>
      <c r="E80" s="145" t="s">
        <v>112</v>
      </c>
      <c r="F80" s="147"/>
      <c r="G80" s="147" t="s">
        <v>48</v>
      </c>
      <c r="J80" s="147">
        <v>-943618</v>
      </c>
      <c r="K80" s="147">
        <v>-1175944</v>
      </c>
      <c r="L80" s="147">
        <v>-768133</v>
      </c>
      <c r="M80" s="147">
        <v>-1006161</v>
      </c>
      <c r="N80" s="148">
        <v>-1235075</v>
      </c>
      <c r="O80" s="148">
        <v>-1074791</v>
      </c>
      <c r="P80" s="148"/>
      <c r="Q80" s="148"/>
      <c r="R80" s="148"/>
      <c r="S80" s="148"/>
      <c r="T80" s="148"/>
      <c r="U80" s="148"/>
      <c r="V80" s="148"/>
      <c r="W80" s="148"/>
    </row>
    <row r="81" spans="1:23" ht="15">
      <c r="A81" s="142"/>
      <c r="B81" s="143"/>
      <c r="C81" s="143"/>
      <c r="D81" s="144"/>
      <c r="E81" s="145" t="s">
        <v>98</v>
      </c>
      <c r="F81" s="147"/>
      <c r="G81" s="147" t="s">
        <v>48</v>
      </c>
      <c r="J81" s="147">
        <v>6275</v>
      </c>
      <c r="K81" s="147">
        <v>14172</v>
      </c>
      <c r="L81" s="147">
        <v>216374</v>
      </c>
      <c r="M81" s="147">
        <v>12888</v>
      </c>
      <c r="N81" s="148">
        <v>35027</v>
      </c>
      <c r="O81" s="148">
        <v>107621</v>
      </c>
      <c r="P81" s="148"/>
      <c r="Q81" s="148"/>
      <c r="R81" s="148"/>
      <c r="S81" s="148"/>
      <c r="T81" s="148"/>
      <c r="U81" s="148"/>
      <c r="V81" s="148"/>
      <c r="W81" s="148"/>
    </row>
    <row r="82" spans="1:23" ht="15">
      <c r="A82" s="142"/>
      <c r="B82" s="143"/>
      <c r="C82" s="143"/>
      <c r="D82" s="144"/>
      <c r="E82" s="149" t="s">
        <v>99</v>
      </c>
      <c r="F82" s="150"/>
      <c r="G82" s="150" t="s">
        <v>48</v>
      </c>
      <c r="J82" s="150">
        <f t="shared" ref="J82:W82" si="33">SUM(J80:J81)</f>
        <v>-937343</v>
      </c>
      <c r="K82" s="150">
        <f t="shared" si="33"/>
        <v>-1161772</v>
      </c>
      <c r="L82" s="150">
        <f t="shared" si="33"/>
        <v>-551759</v>
      </c>
      <c r="M82" s="150">
        <f t="shared" si="33"/>
        <v>-993273</v>
      </c>
      <c r="N82" s="150">
        <f t="shared" si="33"/>
        <v>-1200048</v>
      </c>
      <c r="O82" s="150">
        <f t="shared" si="33"/>
        <v>-967170</v>
      </c>
      <c r="P82" s="150">
        <f t="shared" si="33"/>
        <v>0</v>
      </c>
      <c r="Q82" s="150">
        <f t="shared" si="33"/>
        <v>0</v>
      </c>
      <c r="R82" s="150">
        <f t="shared" si="33"/>
        <v>0</v>
      </c>
      <c r="S82" s="150">
        <f t="shared" si="33"/>
        <v>0</v>
      </c>
      <c r="T82" s="150">
        <f t="shared" si="33"/>
        <v>0</v>
      </c>
      <c r="U82" s="150">
        <f t="shared" si="33"/>
        <v>0</v>
      </c>
      <c r="V82" s="150">
        <f t="shared" si="33"/>
        <v>0</v>
      </c>
      <c r="W82" s="150">
        <f t="shared" si="33"/>
        <v>0</v>
      </c>
    </row>
    <row r="83" spans="1:23" ht="15">
      <c r="A83" s="142"/>
      <c r="B83" s="143"/>
      <c r="C83" s="143"/>
      <c r="D83" s="144"/>
      <c r="E83" s="270"/>
      <c r="F83" s="147"/>
      <c r="G83" s="147"/>
      <c r="J83" s="147"/>
      <c r="K83" s="147"/>
      <c r="L83" s="147"/>
      <c r="M83" s="147"/>
      <c r="N83" s="148"/>
      <c r="O83" s="148"/>
      <c r="P83" s="148"/>
      <c r="Q83" s="148"/>
      <c r="R83" s="148"/>
      <c r="S83" s="148"/>
      <c r="T83" s="148"/>
      <c r="U83" s="148"/>
      <c r="V83" s="148"/>
      <c r="W83" s="148"/>
    </row>
    <row r="84" spans="1:23" ht="15">
      <c r="A84" s="142"/>
      <c r="B84" s="143"/>
      <c r="C84" s="143" t="s">
        <v>60</v>
      </c>
      <c r="D84" s="144"/>
      <c r="E84" s="146"/>
      <c r="F84" s="147"/>
      <c r="G84" s="147"/>
      <c r="J84" s="147"/>
      <c r="K84" s="147"/>
      <c r="L84" s="147"/>
      <c r="M84" s="147"/>
      <c r="N84" s="147"/>
      <c r="O84" s="147"/>
      <c r="P84" s="148"/>
      <c r="Q84" s="148"/>
      <c r="R84" s="148"/>
      <c r="S84" s="148"/>
      <c r="T84" s="148"/>
      <c r="U84" s="148"/>
      <c r="V84" s="148"/>
      <c r="W84" s="148"/>
    </row>
    <row r="85" spans="1:23" ht="15">
      <c r="A85" s="142"/>
      <c r="B85" s="143"/>
      <c r="C85" s="143"/>
      <c r="D85" s="144"/>
      <c r="E85" s="145" t="s">
        <v>100</v>
      </c>
      <c r="F85" s="147"/>
      <c r="G85" s="147" t="s">
        <v>48</v>
      </c>
      <c r="J85" s="147">
        <v>-1500000</v>
      </c>
      <c r="K85" s="147">
        <v>-1700000</v>
      </c>
      <c r="L85" s="147">
        <v>-1325000</v>
      </c>
      <c r="M85" s="147">
        <v>-1800000</v>
      </c>
      <c r="N85" s="148">
        <v>-3050000</v>
      </c>
      <c r="O85" s="148">
        <v>-3250000</v>
      </c>
      <c r="P85" s="148"/>
      <c r="Q85" s="148"/>
      <c r="R85" s="148"/>
      <c r="S85" s="148"/>
      <c r="T85" s="148"/>
      <c r="U85" s="148"/>
      <c r="V85" s="148"/>
      <c r="W85" s="148"/>
    </row>
    <row r="86" spans="1:23" ht="15">
      <c r="A86" s="142"/>
      <c r="B86" s="143"/>
      <c r="C86" s="143"/>
      <c r="D86" s="144"/>
      <c r="E86" s="145" t="str">
        <f xml:space="preserve"> E$22</f>
        <v>Net Finance costs Actuals</v>
      </c>
      <c r="F86" s="147">
        <f t="shared" ref="F86:W86" si="34" xml:space="preserve"> F$22</f>
        <v>0</v>
      </c>
      <c r="G86" s="147" t="str">
        <f t="shared" si="34"/>
        <v>Kes '000'</v>
      </c>
      <c r="H86" s="58">
        <f t="shared" si="34"/>
        <v>-1196514</v>
      </c>
      <c r="I86" s="58">
        <f t="shared" si="34"/>
        <v>0</v>
      </c>
      <c r="J86" s="147">
        <v>-105617</v>
      </c>
      <c r="K86" s="147">
        <v>-165777</v>
      </c>
      <c r="L86" s="147">
        <v>-169899</v>
      </c>
      <c r="M86" s="147">
        <v>-172675</v>
      </c>
      <c r="N86" s="148">
        <v>-305137</v>
      </c>
      <c r="O86" s="148">
        <v>-262276</v>
      </c>
      <c r="P86" s="148">
        <f t="shared" si="34"/>
        <v>0</v>
      </c>
      <c r="Q86" s="148">
        <f t="shared" si="34"/>
        <v>0</v>
      </c>
      <c r="R86" s="148">
        <f t="shared" si="34"/>
        <v>0</v>
      </c>
      <c r="S86" s="148">
        <f t="shared" si="34"/>
        <v>0</v>
      </c>
      <c r="T86" s="148">
        <f t="shared" si="34"/>
        <v>0</v>
      </c>
      <c r="U86" s="148">
        <f t="shared" si="34"/>
        <v>0</v>
      </c>
      <c r="V86" s="148">
        <f t="shared" si="34"/>
        <v>0</v>
      </c>
      <c r="W86" s="148">
        <f t="shared" si="34"/>
        <v>0</v>
      </c>
    </row>
    <row r="87" spans="1:23" ht="15">
      <c r="A87" s="142"/>
      <c r="B87" s="143"/>
      <c r="C87" s="143"/>
      <c r="D87" s="144"/>
      <c r="E87" s="145" t="s">
        <v>101</v>
      </c>
      <c r="F87" s="147"/>
      <c r="G87" s="147" t="s">
        <v>48</v>
      </c>
      <c r="J87" s="146">
        <v>0</v>
      </c>
      <c r="K87" s="147">
        <v>598800</v>
      </c>
      <c r="L87" s="147">
        <v>369600</v>
      </c>
      <c r="M87" s="147">
        <v>-891293</v>
      </c>
      <c r="N87" s="148">
        <v>-762342</v>
      </c>
      <c r="O87" s="148">
        <v>1115807</v>
      </c>
      <c r="P87" s="148"/>
      <c r="Q87" s="148"/>
      <c r="R87" s="148"/>
      <c r="S87" s="148"/>
      <c r="T87" s="148"/>
      <c r="U87" s="148"/>
      <c r="V87" s="148"/>
      <c r="W87" s="148"/>
    </row>
    <row r="88" spans="1:23" ht="15">
      <c r="A88" s="142"/>
      <c r="B88" s="143"/>
      <c r="C88" s="143"/>
      <c r="D88" s="144"/>
      <c r="E88" s="149" t="s">
        <v>102</v>
      </c>
      <c r="F88" s="150"/>
      <c r="G88" s="150" t="s">
        <v>48</v>
      </c>
      <c r="J88" s="150">
        <f t="shared" ref="J88:W88" si="35">SUM(J86:J87)</f>
        <v>-105617</v>
      </c>
      <c r="K88" s="150">
        <f t="shared" si="35"/>
        <v>433023</v>
      </c>
      <c r="L88" s="150">
        <f t="shared" si="35"/>
        <v>199701</v>
      </c>
      <c r="M88" s="150">
        <f t="shared" si="35"/>
        <v>-1063968</v>
      </c>
      <c r="N88" s="150">
        <f t="shared" si="35"/>
        <v>-1067479</v>
      </c>
      <c r="O88" s="150">
        <f t="shared" si="35"/>
        <v>853531</v>
      </c>
      <c r="P88" s="150">
        <f t="shared" si="35"/>
        <v>0</v>
      </c>
      <c r="Q88" s="150">
        <f t="shared" si="35"/>
        <v>0</v>
      </c>
      <c r="R88" s="150">
        <f t="shared" si="35"/>
        <v>0</v>
      </c>
      <c r="S88" s="150">
        <f t="shared" si="35"/>
        <v>0</v>
      </c>
      <c r="T88" s="150">
        <f t="shared" si="35"/>
        <v>0</v>
      </c>
      <c r="U88" s="150">
        <f t="shared" si="35"/>
        <v>0</v>
      </c>
      <c r="V88" s="150">
        <f t="shared" si="35"/>
        <v>0</v>
      </c>
      <c r="W88" s="150">
        <f t="shared" si="35"/>
        <v>0</v>
      </c>
    </row>
    <row r="89" spans="1:23" ht="15">
      <c r="A89" s="142"/>
      <c r="B89" s="143"/>
      <c r="C89" s="143"/>
      <c r="D89" s="144"/>
      <c r="E89" s="145" t="s">
        <v>67</v>
      </c>
      <c r="F89" s="147"/>
      <c r="G89" s="147"/>
      <c r="J89" s="147"/>
      <c r="K89" s="147"/>
      <c r="L89" s="147"/>
      <c r="M89" s="147"/>
      <c r="N89" s="148"/>
      <c r="O89" s="148"/>
      <c r="P89" s="148"/>
      <c r="Q89" s="148"/>
      <c r="R89" s="148"/>
      <c r="S89" s="148"/>
      <c r="T89" s="148"/>
      <c r="U89" s="148"/>
      <c r="V89" s="148"/>
      <c r="W89" s="148"/>
    </row>
    <row r="90" spans="1:23" ht="15.75" thickBot="1">
      <c r="A90" s="142"/>
      <c r="B90" s="143"/>
      <c r="C90" s="143"/>
      <c r="D90" s="144"/>
      <c r="E90" s="160" t="s">
        <v>103</v>
      </c>
      <c r="F90" s="161"/>
      <c r="G90" s="161" t="s">
        <v>48</v>
      </c>
      <c r="J90" s="161">
        <f t="shared" ref="J90:W90" si="36" xml:space="preserve"> J88 + J82 + J77</f>
        <v>1449544</v>
      </c>
      <c r="K90" s="161">
        <f t="shared" si="36"/>
        <v>1014687</v>
      </c>
      <c r="L90" s="161">
        <f t="shared" si="36"/>
        <v>2031208</v>
      </c>
      <c r="M90" s="161">
        <f t="shared" si="36"/>
        <v>2913614</v>
      </c>
      <c r="N90" s="161">
        <f t="shared" si="36"/>
        <v>2506271</v>
      </c>
      <c r="O90" s="161">
        <f t="shared" si="36"/>
        <v>3387377</v>
      </c>
      <c r="P90" s="161">
        <f t="shared" si="36"/>
        <v>0</v>
      </c>
      <c r="Q90" s="161">
        <f t="shared" si="36"/>
        <v>0</v>
      </c>
      <c r="R90" s="161">
        <f t="shared" si="36"/>
        <v>0</v>
      </c>
      <c r="S90" s="161">
        <f t="shared" si="36"/>
        <v>0</v>
      </c>
      <c r="T90" s="161">
        <f t="shared" si="36"/>
        <v>0</v>
      </c>
      <c r="U90" s="161">
        <f t="shared" si="36"/>
        <v>0</v>
      </c>
      <c r="V90" s="161">
        <f t="shared" si="36"/>
        <v>0</v>
      </c>
      <c r="W90" s="161">
        <f t="shared" si="36"/>
        <v>0</v>
      </c>
    </row>
    <row r="91" spans="1:23" customFormat="1" ht="13.5" thickTop="1"/>
    <row r="92" spans="1:23" ht="15">
      <c r="A92" s="142"/>
      <c r="B92" s="143"/>
      <c r="C92" s="143" t="s">
        <v>61</v>
      </c>
      <c r="D92" s="144"/>
      <c r="E92" s="146"/>
      <c r="F92" s="147"/>
      <c r="G92" s="147"/>
      <c r="J92" s="201"/>
      <c r="K92" s="201"/>
      <c r="L92" s="201"/>
      <c r="M92" s="201"/>
      <c r="N92" s="202"/>
      <c r="O92" s="202"/>
      <c r="P92" s="148"/>
      <c r="Q92" s="148"/>
      <c r="R92" s="148"/>
      <c r="S92" s="148"/>
      <c r="T92" s="148"/>
      <c r="U92" s="148"/>
      <c r="V92" s="148"/>
      <c r="W92" s="148"/>
    </row>
    <row r="93" spans="1:23" ht="15">
      <c r="A93" s="142"/>
      <c r="B93" s="143"/>
      <c r="C93" s="143"/>
      <c r="D93" s="144"/>
      <c r="E93" s="145" t="s">
        <v>104</v>
      </c>
      <c r="F93" s="147"/>
      <c r="G93" s="147" t="s">
        <v>48</v>
      </c>
      <c r="J93" s="147">
        <v>-386030</v>
      </c>
      <c r="K93" s="147">
        <v>-436476</v>
      </c>
      <c r="L93" s="147">
        <v>-1121627</v>
      </c>
      <c r="M93" s="147">
        <v>-415174</v>
      </c>
      <c r="N93" s="147">
        <v>699074</v>
      </c>
      <c r="O93" s="147">
        <v>156132</v>
      </c>
      <c r="P93" s="148">
        <f>O97</f>
        <v>-293509</v>
      </c>
      <c r="Q93" s="148">
        <f t="shared" ref="Q93:W93" si="37">P97</f>
        <v>-293509</v>
      </c>
      <c r="R93" s="148">
        <f t="shared" si="37"/>
        <v>-293509</v>
      </c>
      <c r="S93" s="148">
        <f t="shared" si="37"/>
        <v>-293509</v>
      </c>
      <c r="T93" s="148">
        <f t="shared" si="37"/>
        <v>-293509</v>
      </c>
      <c r="U93" s="148">
        <f t="shared" si="37"/>
        <v>-293509</v>
      </c>
      <c r="V93" s="148">
        <f t="shared" si="37"/>
        <v>-293509</v>
      </c>
      <c r="W93" s="148">
        <f t="shared" si="37"/>
        <v>-293509</v>
      </c>
    </row>
    <row r="94" spans="1:23" ht="15">
      <c r="A94" s="142"/>
      <c r="B94" s="143"/>
      <c r="C94" s="143"/>
      <c r="D94" s="144"/>
      <c r="E94" s="177" t="s">
        <v>105</v>
      </c>
      <c r="F94" s="147"/>
      <c r="G94" s="147" t="s">
        <v>48</v>
      </c>
      <c r="J94" s="147">
        <f>J90</f>
        <v>1449544</v>
      </c>
      <c r="K94" s="147">
        <f t="shared" ref="K94:O94" si="38">K90</f>
        <v>1014687</v>
      </c>
      <c r="L94" s="147">
        <f t="shared" si="38"/>
        <v>2031208</v>
      </c>
      <c r="M94" s="147">
        <f t="shared" si="38"/>
        <v>2913614</v>
      </c>
      <c r="N94" s="147">
        <f t="shared" si="38"/>
        <v>2506271</v>
      </c>
      <c r="O94" s="147">
        <f t="shared" si="38"/>
        <v>3387377</v>
      </c>
      <c r="P94" s="147">
        <f>P90</f>
        <v>0</v>
      </c>
      <c r="Q94" s="147">
        <f t="shared" ref="Q94:W94" si="39">Q90</f>
        <v>0</v>
      </c>
      <c r="R94" s="147">
        <f t="shared" si="39"/>
        <v>0</v>
      </c>
      <c r="S94" s="147">
        <f t="shared" si="39"/>
        <v>0</v>
      </c>
      <c r="T94" s="147">
        <f t="shared" si="39"/>
        <v>0</v>
      </c>
      <c r="U94" s="147">
        <f t="shared" si="39"/>
        <v>0</v>
      </c>
      <c r="V94" s="147">
        <f t="shared" si="39"/>
        <v>0</v>
      </c>
      <c r="W94" s="147">
        <f t="shared" si="39"/>
        <v>0</v>
      </c>
    </row>
    <row r="95" spans="1:23" ht="15">
      <c r="A95" s="142"/>
      <c r="B95" s="143"/>
      <c r="C95" s="143"/>
      <c r="D95" s="144"/>
      <c r="E95" s="163" t="s">
        <v>83</v>
      </c>
      <c r="F95" s="164"/>
      <c r="G95" s="164" t="s">
        <v>48</v>
      </c>
      <c r="J95" s="164">
        <v>802858</v>
      </c>
      <c r="K95" s="164">
        <v>251575</v>
      </c>
      <c r="L95" s="164">
        <v>120865</v>
      </c>
      <c r="M95" s="164">
        <v>720680</v>
      </c>
      <c r="N95" s="178">
        <v>194314</v>
      </c>
      <c r="O95" s="212">
        <v>198145</v>
      </c>
      <c r="P95" s="178">
        <f>SUM(P93:P94)</f>
        <v>-293509</v>
      </c>
      <c r="Q95" s="178">
        <f t="shared" ref="Q95:W95" si="40">SUM(Q93:Q94)</f>
        <v>-293509</v>
      </c>
      <c r="R95" s="178">
        <f t="shared" si="40"/>
        <v>-293509</v>
      </c>
      <c r="S95" s="178">
        <f t="shared" si="40"/>
        <v>-293509</v>
      </c>
      <c r="T95" s="178">
        <f t="shared" si="40"/>
        <v>-293509</v>
      </c>
      <c r="U95" s="178">
        <f t="shared" si="40"/>
        <v>-293509</v>
      </c>
      <c r="V95" s="178">
        <f t="shared" si="40"/>
        <v>-293509</v>
      </c>
      <c r="W95" s="178">
        <f t="shared" si="40"/>
        <v>-293509</v>
      </c>
    </row>
    <row r="96" spans="1:23" ht="15">
      <c r="A96" s="142"/>
      <c r="B96" s="143"/>
      <c r="C96" s="143"/>
      <c r="D96" s="144"/>
      <c r="E96" s="145" t="s">
        <v>106</v>
      </c>
      <c r="F96" s="147"/>
      <c r="G96" s="147" t="s">
        <v>48</v>
      </c>
      <c r="J96" s="147">
        <v>-1239334</v>
      </c>
      <c r="K96" s="147">
        <v>-1373202</v>
      </c>
      <c r="L96" s="147">
        <v>-536039</v>
      </c>
      <c r="M96" s="147">
        <v>-21606</v>
      </c>
      <c r="N96" s="148">
        <v>-38182</v>
      </c>
      <c r="O96" s="7">
        <v>-491654</v>
      </c>
      <c r="P96" s="148"/>
      <c r="Q96" s="148"/>
      <c r="R96" s="148"/>
      <c r="S96" s="148"/>
      <c r="T96" s="148"/>
      <c r="U96" s="148"/>
      <c r="V96" s="148"/>
      <c r="W96" s="148"/>
    </row>
    <row r="97" spans="1:23" ht="15">
      <c r="A97" s="142"/>
      <c r="B97" s="158"/>
      <c r="C97" s="159"/>
      <c r="D97" s="142"/>
      <c r="E97" s="149" t="s">
        <v>107</v>
      </c>
      <c r="F97" s="179"/>
      <c r="G97" s="179" t="s">
        <v>48</v>
      </c>
      <c r="J97" s="278">
        <f t="shared" ref="J97:W97" si="41">SUM(J95:J96)</f>
        <v>-436476</v>
      </c>
      <c r="K97" s="278">
        <f t="shared" si="41"/>
        <v>-1121627</v>
      </c>
      <c r="L97" s="278">
        <f t="shared" si="41"/>
        <v>-415174</v>
      </c>
      <c r="M97" s="278">
        <f t="shared" si="41"/>
        <v>699074</v>
      </c>
      <c r="N97" s="278">
        <f t="shared" si="41"/>
        <v>156132</v>
      </c>
      <c r="O97" s="278">
        <f t="shared" si="41"/>
        <v>-293509</v>
      </c>
      <c r="P97" s="278">
        <f t="shared" si="41"/>
        <v>-293509</v>
      </c>
      <c r="Q97" s="278">
        <f t="shared" si="41"/>
        <v>-293509</v>
      </c>
      <c r="R97" s="278">
        <f t="shared" si="41"/>
        <v>-293509</v>
      </c>
      <c r="S97" s="278">
        <f t="shared" si="41"/>
        <v>-293509</v>
      </c>
      <c r="T97" s="278">
        <f t="shared" si="41"/>
        <v>-293509</v>
      </c>
      <c r="U97" s="278">
        <f t="shared" si="41"/>
        <v>-293509</v>
      </c>
      <c r="V97" s="278">
        <f t="shared" si="41"/>
        <v>-293509</v>
      </c>
      <c r="W97" s="278">
        <f t="shared" si="41"/>
        <v>-293509</v>
      </c>
    </row>
    <row r="98" spans="1:23" ht="15">
      <c r="A98" s="142"/>
      <c r="B98" s="158"/>
      <c r="C98" s="159"/>
      <c r="D98" s="142"/>
      <c r="E98" s="146"/>
      <c r="F98" s="146"/>
      <c r="G98" s="146"/>
    </row>
  </sheetData>
  <conditionalFormatting sqref="F2">
    <cfRule type="cellIs" dxfId="51" priority="1" stopIfTrue="1" operator="notEqual">
      <formula>0</formula>
    </cfRule>
    <cfRule type="cellIs" dxfId="50" priority="2" stopIfTrue="1" operator="equal">
      <formula>""</formula>
    </cfRule>
  </conditionalFormatting>
  <conditionalFormatting sqref="F69 J69:W69">
    <cfRule type="cellIs" dxfId="49" priority="7" stopIfTrue="1" operator="notEqual">
      <formula>0</formula>
    </cfRule>
    <cfRule type="cellIs" dxfId="48" priority="8" stopIfTrue="1" operator="equal">
      <formula>""</formula>
    </cfRule>
  </conditionalFormatting>
  <conditionalFormatting sqref="J3:BY3">
    <cfRule type="cellIs" dxfId="47" priority="13" stopIfTrue="1" operator="equal">
      <formula>"Pre-forecast"</formula>
    </cfRule>
    <cfRule type="cellIs" dxfId="46" priority="14"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outlinePr summaryBelow="0" summaryRight="0"/>
  </sheetPr>
  <dimension ref="A1:BY98"/>
  <sheetViews>
    <sheetView defaultGridColor="0" colorId="22" zoomScale="80" zoomScaleNormal="80" workbookViewId="0">
      <pane xSplit="9" ySplit="5" topLeftCell="J16" activePane="bottomRight" state="frozen"/>
      <selection activeCell="F2" sqref="F2"/>
      <selection pane="topRight" activeCell="F2" sqref="F2"/>
      <selection pane="bottomLeft" activeCell="F2" sqref="F2"/>
      <selection pane="bottomRight" activeCell="J25" sqref="J25"/>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59.140625" style="58" bestFit="1" customWidth="1"/>
    <col min="6" max="6" width="12.7109375" style="58" customWidth="1"/>
    <col min="7" max="7" width="11.7109375" style="58" customWidth="1"/>
    <col min="8" max="8" width="13.42578125" style="58" bestFit="1" customWidth="1"/>
    <col min="9" max="9" width="2.7109375" style="58" customWidth="1"/>
    <col min="10" max="12" width="11.7109375" style="58" customWidth="1"/>
    <col min="13" max="14" width="12.7109375" style="58" bestFit="1" customWidth="1"/>
    <col min="15" max="20" width="12.28515625" style="58" bestFit="1" customWidth="1"/>
    <col min="21" max="23" width="12.7109375" style="58" bestFit="1" customWidth="1"/>
    <col min="24" max="77" width="11.7109375" style="58" hidden="1" customWidth="1"/>
    <col min="78" max="16384" width="0" style="58" hidden="1"/>
  </cols>
  <sheetData>
    <row r="1" spans="1:77" s="78" customFormat="1" ht="26.25">
      <c r="A1" s="75" t="str">
        <f ca="1" xml:space="preserve"> RIGHT(CELL("filename", A1), LEN(CELL("filename", A1)) - SEARCH("]", CELL("filename", A1)))</f>
        <v>FinStat</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279" customFormat="1" ht="15">
      <c r="A7" s="273"/>
      <c r="B7" s="274" t="s">
        <v>47</v>
      </c>
      <c r="C7" s="274"/>
      <c r="D7" s="275"/>
      <c r="E7" s="276"/>
      <c r="F7" s="276"/>
      <c r="G7" s="276"/>
      <c r="J7" s="276"/>
      <c r="K7" s="276"/>
      <c r="L7" s="276"/>
      <c r="M7" s="280"/>
      <c r="N7" s="280"/>
      <c r="O7" s="280"/>
      <c r="P7" s="280"/>
      <c r="Q7" s="280"/>
      <c r="R7" s="280"/>
      <c r="S7" s="280"/>
      <c r="T7" s="280"/>
      <c r="U7" s="280"/>
      <c r="V7" s="280"/>
      <c r="W7" s="280"/>
    </row>
    <row r="8" spans="1:77" customFormat="1" ht="15">
      <c r="A8" s="142"/>
      <c r="B8" s="143"/>
      <c r="C8" s="143"/>
      <c r="D8" s="144"/>
      <c r="E8" s="145"/>
      <c r="F8" s="145"/>
      <c r="G8" s="145"/>
      <c r="J8" s="58"/>
      <c r="K8" s="281"/>
      <c r="L8" s="281"/>
      <c r="M8" s="281"/>
      <c r="N8" s="281"/>
      <c r="O8" s="281"/>
      <c r="P8" s="281"/>
      <c r="Q8" s="146"/>
      <c r="R8" s="146"/>
      <c r="S8" s="146"/>
      <c r="T8" s="146"/>
      <c r="U8" s="146"/>
      <c r="V8" s="146"/>
      <c r="W8" s="146"/>
    </row>
    <row r="9" spans="1:77" customFormat="1" ht="15">
      <c r="A9" s="142"/>
      <c r="B9" s="143"/>
      <c r="C9" s="143"/>
      <c r="D9" s="144"/>
      <c r="E9" s="145" t="s">
        <v>191</v>
      </c>
      <c r="F9" s="147"/>
      <c r="G9" s="147" t="s">
        <v>48</v>
      </c>
      <c r="H9">
        <f t="shared" ref="H9:H25" si="0" xml:space="preserve"> SUM(J9:W9)</f>
        <v>179557420.774912</v>
      </c>
      <c r="J9" s="147">
        <v>6050517</v>
      </c>
      <c r="K9" s="147">
        <v>6595964</v>
      </c>
      <c r="L9" s="147">
        <v>7567850</v>
      </c>
      <c r="M9" s="147">
        <v>8744643</v>
      </c>
      <c r="N9" s="148">
        <v>9630357</v>
      </c>
      <c r="O9" s="7">
        <v>10914303</v>
      </c>
      <c r="P9" s="181">
        <f xml:space="preserve"> OpRev!P$24</f>
        <v>13097163.6</v>
      </c>
      <c r="Q9" s="181">
        <f xml:space="preserve"> OpRev!Q$24</f>
        <v>15716596.319999998</v>
      </c>
      <c r="R9" s="181">
        <f xml:space="preserve"> OpRev!R$24</f>
        <v>18859915.583999999</v>
      </c>
      <c r="S9" s="181">
        <f xml:space="preserve"> OpRev!S$24</f>
        <v>22631898.700799998</v>
      </c>
      <c r="T9" s="181">
        <f xml:space="preserve"> OpRev!T$24</f>
        <v>27158278.440959997</v>
      </c>
      <c r="U9" s="181">
        <f xml:space="preserve"> OpRev!U$24</f>
        <v>32589934.129151996</v>
      </c>
      <c r="V9" s="181">
        <f xml:space="preserve"> OpRev!V$24</f>
        <v>0</v>
      </c>
      <c r="W9" s="181">
        <f xml:space="preserve"> OpRev!W$24</f>
        <v>0</v>
      </c>
    </row>
    <row r="10" spans="1:77" customFormat="1" ht="15">
      <c r="A10" s="142"/>
      <c r="B10" s="143"/>
      <c r="C10" s="143"/>
      <c r="D10" s="144"/>
      <c r="E10" s="145" t="s">
        <v>156</v>
      </c>
      <c r="F10" s="147"/>
      <c r="G10" s="147" t="s">
        <v>48</v>
      </c>
      <c r="H10">
        <f t="shared" si="0"/>
        <v>132669777.85207087</v>
      </c>
      <c r="J10" s="147">
        <v>4232852</v>
      </c>
      <c r="K10" s="147">
        <v>4498432</v>
      </c>
      <c r="L10" s="147">
        <v>5971383</v>
      </c>
      <c r="M10" s="147">
        <v>11858477</v>
      </c>
      <c r="N10" s="204">
        <v>9778643</v>
      </c>
      <c r="O10" s="7">
        <v>8704413</v>
      </c>
      <c r="P10" s="181">
        <f xml:space="preserve"> OpRev!P$39</f>
        <v>10010074.949999999</v>
      </c>
      <c r="Q10" s="181">
        <f xml:space="preserve"> OpRev!Q$39</f>
        <v>11511586.192499999</v>
      </c>
      <c r="R10" s="181">
        <f xml:space="preserve"> OpRev!R$39</f>
        <v>13238324.121374998</v>
      </c>
      <c r="S10" s="181">
        <f xml:space="preserve"> OpRev!S$39</f>
        <v>15224072.739581246</v>
      </c>
      <c r="T10" s="181">
        <f xml:space="preserve"> OpRev!T$39</f>
        <v>17507683.650518432</v>
      </c>
      <c r="U10" s="181">
        <f xml:space="preserve"> OpRev!U$39</f>
        <v>20133836.198096197</v>
      </c>
      <c r="V10" s="181">
        <f xml:space="preserve"> OpRev!V$39</f>
        <v>0</v>
      </c>
      <c r="W10" s="181">
        <f xml:space="preserve"> OpRev!W$39</f>
        <v>0</v>
      </c>
    </row>
    <row r="11" spans="1:77" customFormat="1" ht="15">
      <c r="A11" s="142"/>
      <c r="B11" s="143"/>
      <c r="C11" s="143"/>
      <c r="D11" s="144"/>
      <c r="E11" s="149" t="s">
        <v>192</v>
      </c>
      <c r="F11" s="150"/>
      <c r="G11" s="150" t="s">
        <v>48</v>
      </c>
      <c r="H11" s="10">
        <f t="shared" si="0"/>
        <v>312227198.62698287</v>
      </c>
      <c r="J11" s="150">
        <f t="shared" ref="J11:W11" si="1">SUM(J9:J10)</f>
        <v>10283369</v>
      </c>
      <c r="K11" s="150">
        <f t="shared" si="1"/>
        <v>11094396</v>
      </c>
      <c r="L11" s="150">
        <f t="shared" si="1"/>
        <v>13539233</v>
      </c>
      <c r="M11" s="150">
        <f t="shared" si="1"/>
        <v>20603120</v>
      </c>
      <c r="N11" s="150">
        <f t="shared" si="1"/>
        <v>19409000</v>
      </c>
      <c r="O11" s="150">
        <f t="shared" si="1"/>
        <v>19618716</v>
      </c>
      <c r="P11" s="150">
        <f t="shared" si="1"/>
        <v>23107238.549999997</v>
      </c>
      <c r="Q11" s="150">
        <f t="shared" si="1"/>
        <v>27228182.512499996</v>
      </c>
      <c r="R11" s="150">
        <f t="shared" si="1"/>
        <v>32098239.705374997</v>
      </c>
      <c r="S11" s="150">
        <f t="shared" si="1"/>
        <v>37855971.440381244</v>
      </c>
      <c r="T11" s="150">
        <f t="shared" si="1"/>
        <v>44665962.09147843</v>
      </c>
      <c r="U11" s="150">
        <f t="shared" si="1"/>
        <v>52723770.327248193</v>
      </c>
      <c r="V11" s="150">
        <f t="shared" si="1"/>
        <v>0</v>
      </c>
      <c r="W11" s="150">
        <f t="shared" si="1"/>
        <v>0</v>
      </c>
    </row>
    <row r="12" spans="1:77" s="192" customFormat="1" ht="15">
      <c r="A12" s="206"/>
      <c r="B12" s="144"/>
      <c r="C12" s="144"/>
      <c r="D12" s="144"/>
      <c r="E12" s="209" t="s">
        <v>109</v>
      </c>
      <c r="F12" s="210"/>
      <c r="G12" s="210" t="s">
        <v>48</v>
      </c>
      <c r="H12">
        <f t="shared" si="0"/>
        <v>-160001368.31349143</v>
      </c>
      <c r="J12" s="203">
        <v>-5142870</v>
      </c>
      <c r="K12" s="203">
        <v>-5676057</v>
      </c>
      <c r="L12" s="203">
        <v>-7512977</v>
      </c>
      <c r="M12" s="203">
        <v>-11321085</v>
      </c>
      <c r="N12" s="203">
        <v>-11030029</v>
      </c>
      <c r="O12" s="203">
        <v>-10478668</v>
      </c>
      <c r="P12" s="211">
        <f xml:space="preserve"> OpCost!P$24</f>
        <v>-11553619.274999999</v>
      </c>
      <c r="Q12" s="211">
        <f xml:space="preserve"> OpCost!Q$24</f>
        <v>-13614091.256249998</v>
      </c>
      <c r="R12" s="211">
        <f xml:space="preserve"> OpCost!R$24</f>
        <v>-16049119.852687499</v>
      </c>
      <c r="S12" s="211">
        <f xml:space="preserve"> OpCost!S$24</f>
        <v>-18927985.720190622</v>
      </c>
      <c r="T12" s="211">
        <f xml:space="preserve"> OpCost!T$24</f>
        <v>-22332981.045739215</v>
      </c>
      <c r="U12" s="211">
        <f xml:space="preserve"> OpCost!U$24</f>
        <v>-26361885.163624097</v>
      </c>
      <c r="V12" s="211">
        <f xml:space="preserve"> OpCost!V$24</f>
        <v>0</v>
      </c>
      <c r="W12" s="211">
        <f xml:space="preserve"> OpCost!W$24</f>
        <v>0</v>
      </c>
    </row>
    <row r="13" spans="1:77" customFormat="1" ht="15">
      <c r="A13" s="142"/>
      <c r="B13" s="143"/>
      <c r="C13" s="143"/>
      <c r="D13" s="144"/>
      <c r="E13" s="149" t="s">
        <v>193</v>
      </c>
      <c r="F13" s="150"/>
      <c r="G13" s="150" t="s">
        <v>48</v>
      </c>
      <c r="H13" s="10">
        <f t="shared" si="0"/>
        <v>152225830.31349143</v>
      </c>
      <c r="J13" s="150">
        <f t="shared" ref="J13:W13" si="2" xml:space="preserve"> J11 + J12</f>
        <v>5140499</v>
      </c>
      <c r="K13" s="150">
        <f t="shared" si="2"/>
        <v>5418339</v>
      </c>
      <c r="L13" s="150">
        <f t="shared" si="2"/>
        <v>6026256</v>
      </c>
      <c r="M13" s="150">
        <f t="shared" si="2"/>
        <v>9282035</v>
      </c>
      <c r="N13" s="150">
        <f t="shared" si="2"/>
        <v>8378971</v>
      </c>
      <c r="O13" s="150">
        <f t="shared" si="2"/>
        <v>9140048</v>
      </c>
      <c r="P13" s="150">
        <f t="shared" si="2"/>
        <v>11553619.274999999</v>
      </c>
      <c r="Q13" s="150">
        <f t="shared" si="2"/>
        <v>13614091.256249998</v>
      </c>
      <c r="R13" s="150">
        <f t="shared" si="2"/>
        <v>16049119.852687499</v>
      </c>
      <c r="S13" s="150">
        <f t="shared" si="2"/>
        <v>18927985.720190622</v>
      </c>
      <c r="T13" s="150">
        <f t="shared" si="2"/>
        <v>22332981.045739215</v>
      </c>
      <c r="U13" s="150">
        <f t="shared" si="2"/>
        <v>26361885.163624097</v>
      </c>
      <c r="V13" s="150">
        <f t="shared" si="2"/>
        <v>0</v>
      </c>
      <c r="W13" s="150">
        <f t="shared" si="2"/>
        <v>0</v>
      </c>
    </row>
    <row r="14" spans="1:77" customFormat="1" ht="15">
      <c r="A14" s="142"/>
      <c r="B14" s="143"/>
      <c r="C14" s="143"/>
      <c r="D14" s="144"/>
      <c r="E14" s="145" t="s">
        <v>194</v>
      </c>
      <c r="F14" s="147"/>
      <c r="G14" s="147" t="s">
        <v>48</v>
      </c>
      <c r="H14">
        <f t="shared" si="0"/>
        <v>4974399.8340317253</v>
      </c>
      <c r="J14" s="147">
        <v>199745</v>
      </c>
      <c r="K14" s="147">
        <v>237536</v>
      </c>
      <c r="L14" s="147">
        <v>138766</v>
      </c>
      <c r="M14" s="147">
        <v>291319</v>
      </c>
      <c r="N14" s="147">
        <v>408619</v>
      </c>
      <c r="O14" s="147">
        <v>215545</v>
      </c>
      <c r="P14" s="181">
        <f xml:space="preserve"> OpRev!P$65</f>
        <v>369715.81679999997</v>
      </c>
      <c r="Q14" s="181">
        <f xml:space="preserve"> OpRev!Q$65</f>
        <v>435650.92019999993</v>
      </c>
      <c r="R14" s="181">
        <f xml:space="preserve"> OpRev!R$65</f>
        <v>513571.83528599999</v>
      </c>
      <c r="S14" s="181">
        <f xml:space="preserve"> OpRev!S$65</f>
        <v>605695.54304609995</v>
      </c>
      <c r="T14" s="181">
        <f xml:space="preserve"> OpRev!T$65</f>
        <v>714655.39346365491</v>
      </c>
      <c r="U14" s="181">
        <f xml:space="preserve"> OpRev!U$65</f>
        <v>843580.32523597113</v>
      </c>
      <c r="V14" s="181">
        <f xml:space="preserve"> OpRev!V$65</f>
        <v>0</v>
      </c>
      <c r="W14" s="181">
        <f xml:space="preserve"> OpRev!W$65</f>
        <v>0</v>
      </c>
    </row>
    <row r="15" spans="1:77" customFormat="1" ht="15">
      <c r="A15" s="142"/>
      <c r="B15" s="143"/>
      <c r="C15" s="143"/>
      <c r="D15" s="144"/>
      <c r="E15" s="149" t="s">
        <v>195</v>
      </c>
      <c r="F15" s="150"/>
      <c r="G15" s="150" t="s">
        <v>48</v>
      </c>
      <c r="H15" s="10">
        <f t="shared" si="0"/>
        <v>157200230.14752313</v>
      </c>
      <c r="J15" s="150">
        <f t="shared" ref="J15:W15" si="3">SUM(J13:J14)</f>
        <v>5340244</v>
      </c>
      <c r="K15" s="150">
        <f t="shared" si="3"/>
        <v>5655875</v>
      </c>
      <c r="L15" s="150">
        <f t="shared" si="3"/>
        <v>6165022</v>
      </c>
      <c r="M15" s="150">
        <f t="shared" si="3"/>
        <v>9573354</v>
      </c>
      <c r="N15" s="150">
        <f t="shared" si="3"/>
        <v>8787590</v>
      </c>
      <c r="O15" s="150">
        <f t="shared" si="3"/>
        <v>9355593</v>
      </c>
      <c r="P15" s="150">
        <f t="shared" si="3"/>
        <v>11923335.091799999</v>
      </c>
      <c r="Q15" s="150">
        <f t="shared" si="3"/>
        <v>14049742.176449997</v>
      </c>
      <c r="R15" s="150">
        <f t="shared" si="3"/>
        <v>16562691.687973499</v>
      </c>
      <c r="S15" s="150">
        <f t="shared" si="3"/>
        <v>19533681.26323672</v>
      </c>
      <c r="T15" s="150">
        <f t="shared" si="3"/>
        <v>23047636.439202871</v>
      </c>
      <c r="U15" s="150">
        <f t="shared" si="3"/>
        <v>27205465.488860067</v>
      </c>
      <c r="V15" s="150">
        <f t="shared" si="3"/>
        <v>0</v>
      </c>
      <c r="W15" s="150">
        <f t="shared" si="3"/>
        <v>0</v>
      </c>
    </row>
    <row r="16" spans="1:77" ht="15">
      <c r="A16" s="142"/>
      <c r="B16" s="143"/>
      <c r="C16" s="143"/>
      <c r="D16" s="144"/>
      <c r="E16" s="145" t="s">
        <v>196</v>
      </c>
      <c r="F16" s="147"/>
      <c r="G16" s="147" t="s">
        <v>48</v>
      </c>
      <c r="H16">
        <f t="shared" si="0"/>
        <v>-26667118.993293546</v>
      </c>
      <c r="J16" s="147">
        <v>-688703</v>
      </c>
      <c r="K16" s="147">
        <v>-632009</v>
      </c>
      <c r="L16" s="147">
        <v>-1448860</v>
      </c>
      <c r="M16" s="147">
        <v>-1718330</v>
      </c>
      <c r="N16" s="148">
        <v>-1894730</v>
      </c>
      <c r="O16" s="148">
        <v>-1781741</v>
      </c>
      <c r="P16" s="181">
        <f xml:space="preserve"> OpCost!P$43</f>
        <v>-1964115.27675</v>
      </c>
      <c r="Q16" s="181">
        <f xml:space="preserve"> OpCost!Q$43</f>
        <v>-2314395.5135625</v>
      </c>
      <c r="R16" s="181">
        <f xml:space="preserve"> OpCost!R$43</f>
        <v>-2728350.3749568751</v>
      </c>
      <c r="S16" s="181">
        <f xml:space="preserve"> OpCost!S$43</f>
        <v>-3217757.5724324058</v>
      </c>
      <c r="T16" s="181">
        <f xml:space="preserve"> OpCost!T$43</f>
        <v>-3796606.7777756667</v>
      </c>
      <c r="U16" s="181">
        <f xml:space="preserve"> OpCost!U$43</f>
        <v>-4481520.4778160965</v>
      </c>
      <c r="V16" s="181">
        <f xml:space="preserve"> OpCost!V$43</f>
        <v>0</v>
      </c>
      <c r="W16" s="181">
        <f xml:space="preserve"> OpCost!W$43</f>
        <v>0</v>
      </c>
    </row>
    <row r="17" spans="1:23" ht="15">
      <c r="A17" s="142"/>
      <c r="B17" s="143"/>
      <c r="C17" s="143"/>
      <c r="D17" s="144"/>
      <c r="E17" s="145" t="s">
        <v>197</v>
      </c>
      <c r="F17" s="147"/>
      <c r="G17" s="147" t="s">
        <v>48</v>
      </c>
      <c r="H17">
        <f t="shared" si="0"/>
        <v>-24325450.523888804</v>
      </c>
      <c r="J17" s="147">
        <v>-1599369</v>
      </c>
      <c r="K17" s="147">
        <v>-2202853</v>
      </c>
      <c r="L17" s="147">
        <v>-1264683</v>
      </c>
      <c r="M17" s="147">
        <v>-1722799</v>
      </c>
      <c r="N17" s="147">
        <f>-834225</f>
        <v>-834225</v>
      </c>
      <c r="O17" s="147">
        <v>-1463966</v>
      </c>
      <c r="P17" s="293">
        <f xml:space="preserve"> OpCost!P$62</f>
        <v>-1617506.6984999999</v>
      </c>
      <c r="Q17" s="293">
        <f xml:space="preserve"> OpCost!Q$62</f>
        <v>-1905972.7758749998</v>
      </c>
      <c r="R17" s="293">
        <f xml:space="preserve"> OpCost!R$62</f>
        <v>-2246876.7793762502</v>
      </c>
      <c r="S17" s="293">
        <f xml:space="preserve"> OpCost!S$62</f>
        <v>-2649918.0008266876</v>
      </c>
      <c r="T17" s="293">
        <f xml:space="preserve"> OpCost!T$62</f>
        <v>-3126617.3464034903</v>
      </c>
      <c r="U17" s="293">
        <f xml:space="preserve"> OpCost!U$62</f>
        <v>-3690663.9229073739</v>
      </c>
      <c r="V17" s="293">
        <f xml:space="preserve"> OpCost!V$62</f>
        <v>0</v>
      </c>
      <c r="W17" s="293">
        <f xml:space="preserve"> OpCost!W$62</f>
        <v>0</v>
      </c>
    </row>
    <row r="18" spans="1:23" s="27" customFormat="1" ht="15">
      <c r="A18" s="267"/>
      <c r="B18" s="144"/>
      <c r="C18" s="144"/>
      <c r="D18" s="144"/>
      <c r="E18" s="145" t="s">
        <v>164</v>
      </c>
      <c r="F18" s="147"/>
      <c r="G18" s="147" t="s">
        <v>48</v>
      </c>
      <c r="H18">
        <f t="shared" si="0"/>
        <v>-50992569.517182343</v>
      </c>
      <c r="J18" s="147">
        <f>SUM(J16:J17)</f>
        <v>-2288072</v>
      </c>
      <c r="K18" s="147">
        <f t="shared" ref="K18:W18" si="4">SUM(K16:K17)</f>
        <v>-2834862</v>
      </c>
      <c r="L18" s="147">
        <f t="shared" si="4"/>
        <v>-2713543</v>
      </c>
      <c r="M18" s="147">
        <f t="shared" si="4"/>
        <v>-3441129</v>
      </c>
      <c r="N18" s="147">
        <f t="shared" si="4"/>
        <v>-2728955</v>
      </c>
      <c r="O18" s="147">
        <f t="shared" si="4"/>
        <v>-3245707</v>
      </c>
      <c r="P18" s="147">
        <f t="shared" si="4"/>
        <v>-3581621.9752500001</v>
      </c>
      <c r="Q18" s="147">
        <f t="shared" si="4"/>
        <v>-4220368.2894374998</v>
      </c>
      <c r="R18" s="147">
        <f t="shared" si="4"/>
        <v>-4975227.1543331258</v>
      </c>
      <c r="S18" s="147">
        <f t="shared" si="4"/>
        <v>-5867675.5732590929</v>
      </c>
      <c r="T18" s="147">
        <f t="shared" si="4"/>
        <v>-6923224.1241791565</v>
      </c>
      <c r="U18" s="147">
        <f t="shared" si="4"/>
        <v>-8172184.4007234704</v>
      </c>
      <c r="V18" s="147">
        <f t="shared" si="4"/>
        <v>0</v>
      </c>
      <c r="W18" s="147">
        <f t="shared" si="4"/>
        <v>0</v>
      </c>
    </row>
    <row r="19" spans="1:23" s="10" customFormat="1" ht="15">
      <c r="A19" s="159"/>
      <c r="B19" s="143"/>
      <c r="C19" s="143"/>
      <c r="D19" s="143"/>
      <c r="E19" s="195" t="s">
        <v>170</v>
      </c>
      <c r="F19" s="196"/>
      <c r="G19" s="196" t="str">
        <f>smu</f>
        <v>Kes '000'</v>
      </c>
      <c r="H19" s="10">
        <f xml:space="preserve"> SUM(J19:W19)</f>
        <v>106207660.63034081</v>
      </c>
      <c r="J19" s="196">
        <f t="shared" ref="J19:W19" si="5" xml:space="preserve"> J15 + J18</f>
        <v>3052172</v>
      </c>
      <c r="K19" s="196">
        <f t="shared" si="5"/>
        <v>2821013</v>
      </c>
      <c r="L19" s="196">
        <f t="shared" si="5"/>
        <v>3451479</v>
      </c>
      <c r="M19" s="196">
        <f t="shared" si="5"/>
        <v>6132225</v>
      </c>
      <c r="N19" s="196">
        <f t="shared" si="5"/>
        <v>6058635</v>
      </c>
      <c r="O19" s="196">
        <f t="shared" si="5"/>
        <v>6109886</v>
      </c>
      <c r="P19" s="196">
        <f t="shared" si="5"/>
        <v>8341713.1165499985</v>
      </c>
      <c r="Q19" s="196">
        <f t="shared" si="5"/>
        <v>9829373.8870124966</v>
      </c>
      <c r="R19" s="196">
        <f t="shared" si="5"/>
        <v>11587464.533640373</v>
      </c>
      <c r="S19" s="196">
        <f t="shared" si="5"/>
        <v>13666005.689977627</v>
      </c>
      <c r="T19" s="196">
        <f t="shared" si="5"/>
        <v>16124412.315023715</v>
      </c>
      <c r="U19" s="196">
        <f t="shared" si="5"/>
        <v>19033281.088136598</v>
      </c>
      <c r="V19" s="196">
        <f t="shared" si="5"/>
        <v>0</v>
      </c>
      <c r="W19" s="196">
        <f t="shared" si="5"/>
        <v>0</v>
      </c>
    </row>
    <row r="20" spans="1:23" ht="15">
      <c r="A20" s="142"/>
      <c r="B20" s="143"/>
      <c r="C20" s="143"/>
      <c r="D20" s="144"/>
      <c r="E20" s="145" t="s">
        <v>198</v>
      </c>
      <c r="F20" s="147"/>
      <c r="G20" s="147" t="s">
        <v>48</v>
      </c>
      <c r="H20">
        <f t="shared" si="0"/>
        <v>-8339384.4222222213</v>
      </c>
      <c r="J20" s="147">
        <v>-466673</v>
      </c>
      <c r="K20" s="147">
        <v>-529204</v>
      </c>
      <c r="L20" s="147">
        <v>-603792</v>
      </c>
      <c r="M20" s="147">
        <v>-553638</v>
      </c>
      <c r="N20" s="148">
        <v>-553151</v>
      </c>
      <c r="O20" s="148">
        <v>-415602</v>
      </c>
      <c r="P20" s="181">
        <f xml:space="preserve"> FixdAssts!P$131</f>
        <v>-676961.47777777771</v>
      </c>
      <c r="Q20" s="181">
        <f xml:space="preserve"> FixdAssts!Q$131</f>
        <v>-788072.58888888883</v>
      </c>
      <c r="R20" s="181">
        <f xml:space="preserve"> FixdAssts!R$131</f>
        <v>-843628.14444444433</v>
      </c>
      <c r="S20" s="181">
        <f xml:space="preserve"> FixdAssts!S$131</f>
        <v>-899183.7</v>
      </c>
      <c r="T20" s="181">
        <f xml:space="preserve"> FixdAssts!T$131</f>
        <v>-1004739.2555555555</v>
      </c>
      <c r="U20" s="181">
        <f xml:space="preserve"> FixdAssts!U$131</f>
        <v>-1004739.2555555555</v>
      </c>
      <c r="V20" s="181">
        <f xml:space="preserve"> FixdAssts!V$131</f>
        <v>0</v>
      </c>
      <c r="W20" s="181">
        <f xml:space="preserve"> FixdAssts!W$131</f>
        <v>0</v>
      </c>
    </row>
    <row r="21" spans="1:23" s="10" customFormat="1" ht="15">
      <c r="A21" s="159"/>
      <c r="B21" s="143"/>
      <c r="C21" s="143"/>
      <c r="D21" s="143"/>
      <c r="E21" s="149" t="s">
        <v>171</v>
      </c>
      <c r="F21" s="150"/>
      <c r="G21" s="150" t="s">
        <v>48</v>
      </c>
      <c r="H21" s="10">
        <f t="shared" si="0"/>
        <v>97868276.208118588</v>
      </c>
      <c r="J21" s="150">
        <f t="shared" ref="J21:W21" si="6" xml:space="preserve"> J19 + J20</f>
        <v>2585499</v>
      </c>
      <c r="K21" s="150">
        <f t="shared" si="6"/>
        <v>2291809</v>
      </c>
      <c r="L21" s="150">
        <f t="shared" si="6"/>
        <v>2847687</v>
      </c>
      <c r="M21" s="150">
        <f t="shared" si="6"/>
        <v>5578587</v>
      </c>
      <c r="N21" s="150">
        <f t="shared" si="6"/>
        <v>5505484</v>
      </c>
      <c r="O21" s="150">
        <f t="shared" si="6"/>
        <v>5694284</v>
      </c>
      <c r="P21" s="150">
        <f t="shared" si="6"/>
        <v>7664751.6387722213</v>
      </c>
      <c r="Q21" s="150">
        <f t="shared" si="6"/>
        <v>9041301.2981236074</v>
      </c>
      <c r="R21" s="150">
        <f t="shared" si="6"/>
        <v>10743836.389195928</v>
      </c>
      <c r="S21" s="150">
        <f t="shared" si="6"/>
        <v>12766821.989977628</v>
      </c>
      <c r="T21" s="150">
        <f t="shared" si="6"/>
        <v>15119673.059468159</v>
      </c>
      <c r="U21" s="150">
        <f t="shared" si="6"/>
        <v>18028541.832581043</v>
      </c>
      <c r="V21" s="150">
        <f t="shared" si="6"/>
        <v>0</v>
      </c>
      <c r="W21" s="150">
        <f t="shared" si="6"/>
        <v>0</v>
      </c>
    </row>
    <row r="22" spans="1:23" ht="15">
      <c r="A22" s="142"/>
      <c r="B22" s="143"/>
      <c r="C22" s="143"/>
      <c r="D22" s="144"/>
      <c r="E22" s="145" t="s">
        <v>199</v>
      </c>
      <c r="F22" s="147"/>
      <c r="G22" s="147" t="s">
        <v>48</v>
      </c>
      <c r="H22">
        <f t="shared" si="0"/>
        <v>-2914524</v>
      </c>
      <c r="J22" s="147">
        <v>-105617</v>
      </c>
      <c r="K22" s="147">
        <v>-165615</v>
      </c>
      <c r="L22" s="147">
        <v>-186615</v>
      </c>
      <c r="M22" s="147">
        <v>-172041</v>
      </c>
      <c r="N22" s="148">
        <v>-304350</v>
      </c>
      <c r="O22" s="148">
        <v>-262276</v>
      </c>
      <c r="P22" s="181">
        <f xml:space="preserve"> FinCosts!P$75</f>
        <v>-155340</v>
      </c>
      <c r="Q22" s="181">
        <f xml:space="preserve"> FinCosts!Q$75</f>
        <v>-227670</v>
      </c>
      <c r="R22" s="181">
        <f xml:space="preserve"> FinCosts!R$75</f>
        <v>-225000</v>
      </c>
      <c r="S22" s="181">
        <f xml:space="preserve"> FinCosts!S$75</f>
        <v>-300000</v>
      </c>
      <c r="T22" s="181">
        <f xml:space="preserve"> FinCosts!T$75</f>
        <v>-450000</v>
      </c>
      <c r="U22" s="181">
        <f xml:space="preserve"> FinCosts!U$75</f>
        <v>-360000</v>
      </c>
      <c r="V22" s="181">
        <f xml:space="preserve"> FinCosts!V$75</f>
        <v>0</v>
      </c>
      <c r="W22" s="181">
        <f xml:space="preserve"> FinCosts!W$75</f>
        <v>0</v>
      </c>
    </row>
    <row r="23" spans="1:23" ht="15">
      <c r="A23" s="142"/>
      <c r="B23" s="143"/>
      <c r="C23" s="143"/>
      <c r="D23" s="144"/>
      <c r="E23" s="151" t="s">
        <v>200</v>
      </c>
      <c r="F23" s="152"/>
      <c r="G23" s="152" t="s">
        <v>48</v>
      </c>
      <c r="H23" s="10">
        <f t="shared" si="0"/>
        <v>94953752.208118588</v>
      </c>
      <c r="J23" s="152">
        <f t="shared" ref="J23:W23" si="7" xml:space="preserve"> J21 + J22</f>
        <v>2479882</v>
      </c>
      <c r="K23" s="152">
        <f t="shared" si="7"/>
        <v>2126194</v>
      </c>
      <c r="L23" s="152">
        <f t="shared" si="7"/>
        <v>2661072</v>
      </c>
      <c r="M23" s="152">
        <f t="shared" si="7"/>
        <v>5406546</v>
      </c>
      <c r="N23" s="152">
        <f t="shared" si="7"/>
        <v>5201134</v>
      </c>
      <c r="O23" s="152">
        <f t="shared" si="7"/>
        <v>5432008</v>
      </c>
      <c r="P23" s="152">
        <f t="shared" si="7"/>
        <v>7509411.6387722213</v>
      </c>
      <c r="Q23" s="152">
        <f t="shared" si="7"/>
        <v>8813631.2981236074</v>
      </c>
      <c r="R23" s="152">
        <f t="shared" si="7"/>
        <v>10518836.389195928</v>
      </c>
      <c r="S23" s="152">
        <f t="shared" si="7"/>
        <v>12466821.989977628</v>
      </c>
      <c r="T23" s="152">
        <f t="shared" si="7"/>
        <v>14669673.059468159</v>
      </c>
      <c r="U23" s="152">
        <f t="shared" si="7"/>
        <v>17668541.832581043</v>
      </c>
      <c r="V23" s="152">
        <f t="shared" si="7"/>
        <v>0</v>
      </c>
      <c r="W23" s="152">
        <f t="shared" si="7"/>
        <v>0</v>
      </c>
    </row>
    <row r="24" spans="1:23" s="353" customFormat="1" ht="15">
      <c r="A24" s="380"/>
      <c r="B24" s="198"/>
      <c r="C24" s="198"/>
      <c r="D24" s="199"/>
      <c r="E24" s="200" t="s">
        <v>201</v>
      </c>
      <c r="F24" s="201"/>
      <c r="G24" s="201" t="s">
        <v>48</v>
      </c>
      <c r="H24" s="383">
        <f t="shared" si="0"/>
        <v>-29834090.489349239</v>
      </c>
      <c r="J24" s="201">
        <v>-716517.9</v>
      </c>
      <c r="K24" s="201">
        <v>-630533.19999999995</v>
      </c>
      <c r="L24" s="201">
        <v>-955335.6</v>
      </c>
      <c r="M24" s="201">
        <v>-1665359.5999999999</v>
      </c>
      <c r="N24" s="201">
        <v>-1622949</v>
      </c>
      <c r="O24" s="201">
        <v>-1746263.5</v>
      </c>
      <c r="P24" s="381">
        <f xml:space="preserve"> Tax!P$24</f>
        <v>-2357955.2545744777</v>
      </c>
      <c r="Q24" s="381">
        <f xml:space="preserve"> Tax!Q$24</f>
        <v>-2767480.2276108125</v>
      </c>
      <c r="R24" s="381">
        <f xml:space="preserve"> Tax!R$24</f>
        <v>-3302914.6262075217</v>
      </c>
      <c r="S24" s="381">
        <f xml:space="preserve"> Tax!S$24</f>
        <v>-3914582.1048529753</v>
      </c>
      <c r="T24" s="381">
        <f xml:space="preserve"> Tax!T$24</f>
        <v>-4606277.3406730024</v>
      </c>
      <c r="U24" s="381">
        <f xml:space="preserve"> Tax!U$24</f>
        <v>-5547922.1354304478</v>
      </c>
      <c r="V24" s="381">
        <f xml:space="preserve"> Tax!V$24</f>
        <v>0</v>
      </c>
      <c r="W24" s="381">
        <f xml:space="preserve"> Tax!W$24</f>
        <v>0</v>
      </c>
    </row>
    <row r="25" spans="1:23" ht="15.75" thickBot="1">
      <c r="A25" s="142"/>
      <c r="B25" s="143"/>
      <c r="C25" s="143"/>
      <c r="D25" s="144"/>
      <c r="E25" s="160" t="s">
        <v>172</v>
      </c>
      <c r="F25" s="161"/>
      <c r="G25" s="161" t="s">
        <v>48</v>
      </c>
      <c r="H25" s="205">
        <f t="shared" si="0"/>
        <v>65119661.718769357</v>
      </c>
      <c r="J25" s="205">
        <f xml:space="preserve"> J$23 + J$24</f>
        <v>1763364.1</v>
      </c>
      <c r="K25" s="205">
        <f t="shared" ref="K25:W25" si="8" xml:space="preserve"> K$23 + K$24</f>
        <v>1495660.8</v>
      </c>
      <c r="L25" s="205">
        <f t="shared" si="8"/>
        <v>1705736.4</v>
      </c>
      <c r="M25" s="205">
        <f t="shared" si="8"/>
        <v>3741186.4000000004</v>
      </c>
      <c r="N25" s="205">
        <f t="shared" si="8"/>
        <v>3578185</v>
      </c>
      <c r="O25" s="205">
        <f t="shared" si="8"/>
        <v>3685744.5</v>
      </c>
      <c r="P25" s="205">
        <f t="shared" si="8"/>
        <v>5151456.3841977436</v>
      </c>
      <c r="Q25" s="205">
        <f t="shared" si="8"/>
        <v>6046151.0705127949</v>
      </c>
      <c r="R25" s="205">
        <f t="shared" si="8"/>
        <v>7215921.7629884072</v>
      </c>
      <c r="S25" s="205">
        <f t="shared" si="8"/>
        <v>8552239.8851246536</v>
      </c>
      <c r="T25" s="205">
        <f t="shared" si="8"/>
        <v>10063395.718795158</v>
      </c>
      <c r="U25" s="205">
        <f t="shared" si="8"/>
        <v>12120619.697150595</v>
      </c>
      <c r="V25" s="205">
        <f t="shared" si="8"/>
        <v>0</v>
      </c>
      <c r="W25" s="205">
        <f t="shared" si="8"/>
        <v>0</v>
      </c>
    </row>
    <row r="26" spans="1:23" ht="15.75" thickTop="1">
      <c r="A26" s="142"/>
      <c r="B26" s="143"/>
      <c r="C26" s="143"/>
      <c r="D26" s="144"/>
      <c r="E26" s="143"/>
      <c r="F26" s="157"/>
      <c r="G26" s="157"/>
      <c r="J26" s="154"/>
      <c r="K26" s="154"/>
      <c r="L26" s="154"/>
      <c r="M26" s="154"/>
      <c r="N26" s="154"/>
      <c r="O26" s="154"/>
      <c r="P26" s="154"/>
      <c r="Q26" s="154"/>
      <c r="R26" s="154"/>
      <c r="S26" s="154"/>
      <c r="T26" s="154"/>
      <c r="U26" s="154"/>
      <c r="V26" s="154"/>
      <c r="W26" s="154"/>
    </row>
    <row r="27" spans="1:23" s="353" customFormat="1" ht="15">
      <c r="A27" s="380"/>
      <c r="B27" s="198"/>
      <c r="C27" s="198"/>
      <c r="D27" s="199"/>
      <c r="E27" s="200" t="s">
        <v>202</v>
      </c>
      <c r="F27" s="201"/>
      <c r="G27" s="201" t="s">
        <v>48</v>
      </c>
      <c r="H27" s="353">
        <f xml:space="preserve"> SUM(J27:W27)</f>
        <v>41761325.460203186</v>
      </c>
      <c r="J27" s="201">
        <v>450000</v>
      </c>
      <c r="K27" s="201">
        <v>450000</v>
      </c>
      <c r="L27" s="201">
        <v>0</v>
      </c>
      <c r="M27" s="201">
        <v>350000</v>
      </c>
      <c r="N27" s="202">
        <v>350000</v>
      </c>
      <c r="O27" s="78">
        <v>350000</v>
      </c>
      <c r="P27" s="382">
        <f xml:space="preserve"> Equity!P$41</f>
        <v>4172679.6712001725</v>
      </c>
      <c r="Q27" s="382">
        <f xml:space="preserve"> Equity!Q$41</f>
        <v>4897382.3671153644</v>
      </c>
      <c r="R27" s="382">
        <f xml:space="preserve"> Equity!R$41</f>
        <v>5844896.6280206097</v>
      </c>
      <c r="S27" s="382">
        <f xml:space="preserve"> Equity!S$41</f>
        <v>6927314.3069509696</v>
      </c>
      <c r="T27" s="382">
        <f xml:space="preserve"> Equity!T$41</f>
        <v>8151350.5322240787</v>
      </c>
      <c r="U27" s="382">
        <f xml:space="preserve"> Equity!U$41</f>
        <v>9817701.9546919838</v>
      </c>
      <c r="V27" s="382">
        <f xml:space="preserve"> Equity!V$41</f>
        <v>0</v>
      </c>
      <c r="W27" s="382">
        <f xml:space="preserve"> Equity!W$41</f>
        <v>0</v>
      </c>
    </row>
    <row r="28" spans="1:23" s="353" customFormat="1" ht="15">
      <c r="A28" s="380"/>
      <c r="B28" s="198"/>
      <c r="C28" s="198"/>
      <c r="D28" s="199"/>
      <c r="E28" s="200" t="s">
        <v>203</v>
      </c>
      <c r="F28" s="201"/>
      <c r="G28" s="201" t="s">
        <v>48</v>
      </c>
      <c r="H28" s="353">
        <f xml:space="preserve"> SUM(J28:W28)</f>
        <v>17098480.606689241</v>
      </c>
      <c r="J28" s="201">
        <v>1250000</v>
      </c>
      <c r="K28" s="201">
        <v>1025000</v>
      </c>
      <c r="L28" s="201">
        <v>1450000</v>
      </c>
      <c r="M28" s="201">
        <v>2700000</v>
      </c>
      <c r="N28" s="202">
        <v>2900000</v>
      </c>
      <c r="O28" s="78">
        <v>3350000</v>
      </c>
      <c r="P28" s="382">
        <f xml:space="preserve"> Equity!P$46</f>
        <v>463631.07457779674</v>
      </c>
      <c r="Q28" s="382">
        <f xml:space="preserve"> Equity!Q$46</f>
        <v>544153.59634615108</v>
      </c>
      <c r="R28" s="382">
        <f xml:space="preserve"> Equity!R$46</f>
        <v>649432.95866895653</v>
      </c>
      <c r="S28" s="382">
        <f xml:space="preserve"> Equity!S$46</f>
        <v>769701.58966121916</v>
      </c>
      <c r="T28" s="382">
        <f xml:space="preserve"> Equity!T$46</f>
        <v>905705.61469156388</v>
      </c>
      <c r="U28" s="382">
        <f xml:space="preserve"> Equity!U$46</f>
        <v>1090855.7727435529</v>
      </c>
      <c r="V28" s="382">
        <f xml:space="preserve"> Equity!V$46</f>
        <v>0</v>
      </c>
      <c r="W28" s="382">
        <f xml:space="preserve"> Equity!W$46</f>
        <v>0</v>
      </c>
    </row>
    <row r="29" spans="1:23" ht="15">
      <c r="A29" s="142"/>
      <c r="B29" s="143"/>
      <c r="C29" s="143"/>
      <c r="D29" s="144"/>
      <c r="E29" s="149" t="s">
        <v>78</v>
      </c>
      <c r="F29" s="150"/>
      <c r="G29" s="150" t="s">
        <v>48</v>
      </c>
      <c r="H29" s="10">
        <f xml:space="preserve"> SUM(J29:W29)</f>
        <v>58859806.066892415</v>
      </c>
      <c r="J29" s="150">
        <f t="shared" ref="J29:W29" si="9">SUM(J27:J28)</f>
        <v>1700000</v>
      </c>
      <c r="K29" s="150">
        <f t="shared" si="9"/>
        <v>1475000</v>
      </c>
      <c r="L29" s="150">
        <f t="shared" si="9"/>
        <v>1450000</v>
      </c>
      <c r="M29" s="150">
        <f t="shared" si="9"/>
        <v>3050000</v>
      </c>
      <c r="N29" s="150">
        <f t="shared" si="9"/>
        <v>3250000</v>
      </c>
      <c r="O29" s="150">
        <f t="shared" si="9"/>
        <v>3700000</v>
      </c>
      <c r="P29" s="150">
        <f t="shared" si="9"/>
        <v>4636310.7457779692</v>
      </c>
      <c r="Q29" s="150">
        <f t="shared" si="9"/>
        <v>5441535.9634615155</v>
      </c>
      <c r="R29" s="150">
        <f t="shared" si="9"/>
        <v>6494329.5866895663</v>
      </c>
      <c r="S29" s="150">
        <f t="shared" si="9"/>
        <v>7697015.8966121888</v>
      </c>
      <c r="T29" s="150">
        <f t="shared" si="9"/>
        <v>9057056.1469156425</v>
      </c>
      <c r="U29" s="150">
        <f t="shared" si="9"/>
        <v>10908557.727435537</v>
      </c>
      <c r="V29" s="150">
        <f t="shared" si="9"/>
        <v>0</v>
      </c>
      <c r="W29" s="150">
        <f t="shared" si="9"/>
        <v>0</v>
      </c>
    </row>
    <row r="30" spans="1:23" ht="15">
      <c r="A30" s="142"/>
      <c r="B30" s="143"/>
      <c r="C30" s="143"/>
      <c r="D30" s="144"/>
      <c r="E30" s="145" t="s">
        <v>67</v>
      </c>
      <c r="F30" s="147"/>
      <c r="G30" s="147"/>
      <c r="J30" s="147"/>
      <c r="K30" s="147"/>
      <c r="L30" s="147"/>
      <c r="M30" s="147"/>
      <c r="N30" s="148"/>
      <c r="O30" s="148"/>
      <c r="P30" s="148"/>
      <c r="Q30" s="148"/>
      <c r="R30" s="148"/>
      <c r="S30" s="148"/>
      <c r="T30" s="148"/>
      <c r="U30" s="148"/>
      <c r="V30" s="148"/>
      <c r="W30" s="148"/>
    </row>
    <row r="31" spans="1:23" s="277" customFormat="1" ht="15">
      <c r="A31" s="273"/>
      <c r="B31" s="274" t="s">
        <v>49</v>
      </c>
      <c r="C31" s="274"/>
      <c r="D31" s="275"/>
      <c r="E31" s="276"/>
      <c r="F31" s="269"/>
      <c r="G31" s="269"/>
      <c r="J31" s="269"/>
      <c r="K31" s="269"/>
      <c r="L31" s="269"/>
      <c r="M31" s="269"/>
      <c r="N31" s="272"/>
      <c r="O31" s="272"/>
      <c r="P31" s="272"/>
      <c r="Q31" s="272"/>
      <c r="R31" s="272"/>
      <c r="S31" s="272"/>
      <c r="T31" s="272"/>
      <c r="U31" s="272"/>
      <c r="V31" s="272"/>
      <c r="W31" s="272"/>
    </row>
    <row r="32" spans="1:23" ht="15">
      <c r="A32" s="142"/>
      <c r="B32" s="143"/>
      <c r="C32" s="143"/>
      <c r="D32" s="144"/>
      <c r="E32" s="146"/>
      <c r="F32" s="147"/>
      <c r="G32" s="147"/>
      <c r="J32" s="147"/>
      <c r="K32" s="147"/>
      <c r="L32" s="147"/>
      <c r="M32" s="147"/>
      <c r="N32" s="148"/>
      <c r="O32" s="148"/>
      <c r="P32" s="148"/>
      <c r="Q32" s="148"/>
      <c r="R32" s="148"/>
      <c r="S32" s="148"/>
      <c r="T32" s="148"/>
      <c r="U32" s="148"/>
      <c r="V32" s="148"/>
      <c r="W32" s="148"/>
    </row>
    <row r="33" spans="1:23" ht="15">
      <c r="A33" s="142"/>
      <c r="B33" s="143"/>
      <c r="C33" s="143" t="s">
        <v>50</v>
      </c>
      <c r="D33" s="144"/>
      <c r="E33" s="146"/>
      <c r="F33" s="147"/>
      <c r="G33" s="147"/>
      <c r="J33" s="147"/>
      <c r="K33" s="147"/>
      <c r="L33" s="147"/>
      <c r="M33" s="147"/>
      <c r="N33" s="148"/>
      <c r="O33" s="148"/>
      <c r="P33" s="148"/>
      <c r="Q33" s="148"/>
      <c r="R33" s="148"/>
      <c r="S33" s="148"/>
      <c r="T33" s="148"/>
      <c r="U33" s="148"/>
      <c r="V33" s="148"/>
      <c r="W33" s="148"/>
    </row>
    <row r="34" spans="1:23" ht="15">
      <c r="A34" s="142"/>
      <c r="B34" s="143"/>
      <c r="C34" s="143"/>
      <c r="D34" s="144"/>
      <c r="E34" s="145" t="s">
        <v>204</v>
      </c>
      <c r="F34" s="147"/>
      <c r="G34" s="147" t="s">
        <v>48</v>
      </c>
      <c r="J34" s="147">
        <v>5684334</v>
      </c>
      <c r="K34" s="147">
        <v>6299672</v>
      </c>
      <c r="L34" s="147">
        <v>6309139</v>
      </c>
      <c r="M34" s="147">
        <v>6756340</v>
      </c>
      <c r="N34" s="148">
        <v>8046667</v>
      </c>
      <c r="O34" s="148">
        <v>8454193</v>
      </c>
      <c r="P34" s="181">
        <f xml:space="preserve"> FixdAssts!P$139</f>
        <v>8777231.5222222209</v>
      </c>
      <c r="Q34" s="181">
        <f xml:space="preserve"> FixdAssts!Q$139</f>
        <v>8489158.9333333336</v>
      </c>
      <c r="R34" s="181">
        <f xml:space="preserve"> FixdAssts!R$139</f>
        <v>8145530.7888888884</v>
      </c>
      <c r="S34" s="181">
        <f xml:space="preserve"> FixdAssts!S$139</f>
        <v>9746347.0888888873</v>
      </c>
      <c r="T34" s="181">
        <f xml:space="preserve"> FixdAssts!T$139</f>
        <v>8741607.8333333321</v>
      </c>
      <c r="U34" s="181">
        <f xml:space="preserve"> FixdAssts!U$139</f>
        <v>7736868.5777777769</v>
      </c>
      <c r="V34" s="181">
        <f xml:space="preserve"> FixdAssts!V$139</f>
        <v>0</v>
      </c>
      <c r="W34" s="181">
        <f xml:space="preserve"> FixdAssts!W$139</f>
        <v>0</v>
      </c>
    </row>
    <row r="35" spans="1:23" ht="15">
      <c r="A35" s="142"/>
      <c r="B35" s="143"/>
      <c r="C35" s="143"/>
      <c r="D35" s="144"/>
      <c r="E35" s="151" t="s">
        <v>205</v>
      </c>
      <c r="F35" s="152"/>
      <c r="G35" s="152" t="s">
        <v>48</v>
      </c>
      <c r="H35" s="10"/>
      <c r="J35" s="152">
        <f t="shared" ref="J35:W35" si="10">SUM(J34:J34)</f>
        <v>5684334</v>
      </c>
      <c r="K35" s="152">
        <f t="shared" si="10"/>
        <v>6299672</v>
      </c>
      <c r="L35" s="152">
        <f t="shared" si="10"/>
        <v>6309139</v>
      </c>
      <c r="M35" s="152">
        <f t="shared" si="10"/>
        <v>6756340</v>
      </c>
      <c r="N35" s="152">
        <f t="shared" si="10"/>
        <v>8046667</v>
      </c>
      <c r="O35" s="152">
        <f t="shared" si="10"/>
        <v>8454193</v>
      </c>
      <c r="P35" s="152">
        <f t="shared" si="10"/>
        <v>8777231.5222222209</v>
      </c>
      <c r="Q35" s="152">
        <f t="shared" si="10"/>
        <v>8489158.9333333336</v>
      </c>
      <c r="R35" s="152">
        <f t="shared" si="10"/>
        <v>8145530.7888888884</v>
      </c>
      <c r="S35" s="152">
        <f t="shared" si="10"/>
        <v>9746347.0888888873</v>
      </c>
      <c r="T35" s="152">
        <f t="shared" si="10"/>
        <v>8741607.8333333321</v>
      </c>
      <c r="U35" s="152">
        <f t="shared" si="10"/>
        <v>7736868.5777777769</v>
      </c>
      <c r="V35" s="152">
        <f t="shared" si="10"/>
        <v>0</v>
      </c>
      <c r="W35" s="152">
        <f t="shared" si="10"/>
        <v>0</v>
      </c>
    </row>
    <row r="36" spans="1:23" ht="15">
      <c r="A36" s="142"/>
      <c r="B36" s="143"/>
      <c r="C36" s="143"/>
      <c r="D36" s="144"/>
      <c r="E36" s="144" t="s">
        <v>67</v>
      </c>
      <c r="F36" s="155"/>
      <c r="G36" s="155"/>
      <c r="J36" s="155"/>
      <c r="K36" s="155"/>
      <c r="L36" s="155"/>
      <c r="M36" s="155"/>
      <c r="N36" s="162"/>
      <c r="O36" s="162"/>
      <c r="P36" s="162"/>
      <c r="Q36" s="162"/>
      <c r="R36" s="162"/>
      <c r="S36" s="162"/>
      <c r="T36" s="162"/>
      <c r="U36" s="162"/>
      <c r="V36" s="162"/>
      <c r="W36" s="162"/>
    </row>
    <row r="37" spans="1:23" ht="15">
      <c r="A37" s="142"/>
      <c r="B37" s="143"/>
      <c r="C37" s="143" t="s">
        <v>51</v>
      </c>
      <c r="D37" s="144"/>
      <c r="E37" s="146"/>
      <c r="F37" s="147"/>
      <c r="G37" s="147"/>
      <c r="J37" s="147"/>
      <c r="K37" s="147"/>
      <c r="L37" s="147"/>
      <c r="M37" s="147"/>
      <c r="N37" s="148"/>
      <c r="O37" s="148"/>
      <c r="P37" s="148"/>
      <c r="Q37" s="148"/>
      <c r="R37" s="148"/>
      <c r="S37" s="148"/>
      <c r="T37" s="148"/>
      <c r="U37" s="148"/>
      <c r="V37" s="148"/>
      <c r="W37" s="148"/>
    </row>
    <row r="38" spans="1:23" s="353" customFormat="1" ht="15">
      <c r="A38" s="380"/>
      <c r="B38" s="198"/>
      <c r="C38" s="198"/>
      <c r="D38" s="199"/>
      <c r="E38" s="200" t="s">
        <v>206</v>
      </c>
      <c r="F38" s="201"/>
      <c r="G38" s="201" t="s">
        <v>48</v>
      </c>
      <c r="J38" s="201">
        <v>2085678</v>
      </c>
      <c r="K38" s="201">
        <v>2299571</v>
      </c>
      <c r="L38" s="387">
        <v>2972758</v>
      </c>
      <c r="M38" s="201">
        <v>4374777</v>
      </c>
      <c r="N38" s="202">
        <v>4393589</v>
      </c>
      <c r="O38" s="202">
        <v>4482067</v>
      </c>
      <c r="P38" s="382">
        <f xml:space="preserve"> WorkCap!P$25</f>
        <v>4653101.461438356</v>
      </c>
      <c r="Q38" s="382">
        <f xml:space="preserve"> WorkCap!Q$25</f>
        <v>5482935.382654109</v>
      </c>
      <c r="R38" s="382">
        <f xml:space="preserve"> WorkCap!R$25</f>
        <v>6463618.1324522253</v>
      </c>
      <c r="S38" s="382">
        <f xml:space="preserve"> WorkCap!S$25</f>
        <v>7623051.7832000591</v>
      </c>
      <c r="T38" s="382">
        <f xml:space="preserve"> WorkCap!T$25</f>
        <v>8994378.6677360684</v>
      </c>
      <c r="U38" s="382">
        <f xml:space="preserve"> WorkCap!U$25</f>
        <v>10616978.408363678</v>
      </c>
      <c r="V38" s="382">
        <f xml:space="preserve"> WorkCap!V$25</f>
        <v>0</v>
      </c>
      <c r="W38" s="382">
        <f xml:space="preserve"> WorkCap!W$25</f>
        <v>0</v>
      </c>
    </row>
    <row r="39" spans="1:23" s="353" customFormat="1" ht="15">
      <c r="A39" s="380"/>
      <c r="B39" s="198"/>
      <c r="C39" s="198"/>
      <c r="D39" s="199"/>
      <c r="E39" s="200" t="s">
        <v>207</v>
      </c>
      <c r="F39" s="201"/>
      <c r="G39" s="201" t="s">
        <v>48</v>
      </c>
      <c r="J39" s="201">
        <v>1734732</v>
      </c>
      <c r="K39" s="201">
        <v>1693180</v>
      </c>
      <c r="L39" s="201">
        <v>1710666</v>
      </c>
      <c r="M39" s="201">
        <v>1884257</v>
      </c>
      <c r="N39" s="202">
        <v>2541925</v>
      </c>
      <c r="O39" s="202">
        <v>3838060</v>
      </c>
      <c r="P39" s="382">
        <f xml:space="preserve"> WorkCap!P$52</f>
        <v>3355297.6524657528</v>
      </c>
      <c r="Q39" s="382">
        <f xml:space="preserve"> WorkCap!Q$52</f>
        <v>3953681.2963356152</v>
      </c>
      <c r="R39" s="382">
        <f xml:space="preserve"> WorkCap!R$52</f>
        <v>4660840.2859859578</v>
      </c>
      <c r="S39" s="382">
        <f xml:space="preserve"> WorkCap!S$52</f>
        <v>5496894.483123851</v>
      </c>
      <c r="T39" s="382">
        <f xml:space="preserve"> WorkCap!T$52</f>
        <v>6485742.4406804293</v>
      </c>
      <c r="U39" s="382">
        <f xml:space="preserve"> WorkCap!U$52</f>
        <v>7655780.3488880927</v>
      </c>
      <c r="V39" s="382">
        <f xml:space="preserve"> WorkCap!V$52</f>
        <v>0</v>
      </c>
      <c r="W39" s="382">
        <f xml:space="preserve"> WorkCap!W$52</f>
        <v>0</v>
      </c>
    </row>
    <row r="40" spans="1:23" s="353" customFormat="1" ht="15">
      <c r="A40" s="380"/>
      <c r="B40" s="198"/>
      <c r="C40" s="198"/>
      <c r="D40" s="199"/>
      <c r="E40" s="200" t="s">
        <v>208</v>
      </c>
      <c r="F40" s="201"/>
      <c r="G40" s="201" t="s">
        <v>48</v>
      </c>
      <c r="J40" s="201">
        <v>802858</v>
      </c>
      <c r="K40" s="201">
        <v>251575</v>
      </c>
      <c r="L40" s="201">
        <v>120865</v>
      </c>
      <c r="M40" s="201">
        <v>720680</v>
      </c>
      <c r="N40" s="202">
        <v>194314</v>
      </c>
      <c r="O40" s="78">
        <v>198145</v>
      </c>
      <c r="P40" s="202">
        <f>IF(P$97&gt;0,P$97,0)</f>
        <v>0</v>
      </c>
      <c r="Q40" s="202">
        <f t="shared" ref="Q40:W40" si="11">IF(Q$97&gt;0,Q$97,0)</f>
        <v>0</v>
      </c>
      <c r="R40" s="202">
        <f t="shared" si="11"/>
        <v>196384.2591222683</v>
      </c>
      <c r="S40" s="202">
        <f t="shared" si="11"/>
        <v>327568.98791773338</v>
      </c>
      <c r="T40" s="202">
        <f t="shared" si="11"/>
        <v>1585603.2844374133</v>
      </c>
      <c r="U40" s="202">
        <f t="shared" si="11"/>
        <v>3049895.2993123224</v>
      </c>
      <c r="V40" s="202">
        <f t="shared" si="11"/>
        <v>3049895.2993123224</v>
      </c>
      <c r="W40" s="202">
        <f t="shared" si="11"/>
        <v>3049895.2993123224</v>
      </c>
    </row>
    <row r="41" spans="1:23" ht="15">
      <c r="A41" s="142"/>
      <c r="B41" s="143"/>
      <c r="C41" s="143"/>
      <c r="D41" s="144"/>
      <c r="E41" s="149" t="s">
        <v>209</v>
      </c>
      <c r="F41" s="150"/>
      <c r="G41" s="150" t="s">
        <v>48</v>
      </c>
      <c r="H41" s="10"/>
      <c r="J41" s="150">
        <f>SUM(J38:J40)</f>
        <v>4623268</v>
      </c>
      <c r="K41" s="150">
        <f t="shared" ref="K41:W41" si="12">SUM(K38:K40)</f>
        <v>4244326</v>
      </c>
      <c r="L41" s="150">
        <f t="shared" si="12"/>
        <v>4804289</v>
      </c>
      <c r="M41" s="150">
        <f t="shared" si="12"/>
        <v>6979714</v>
      </c>
      <c r="N41" s="150">
        <f t="shared" si="12"/>
        <v>7129828</v>
      </c>
      <c r="O41" s="150">
        <f t="shared" si="12"/>
        <v>8518272</v>
      </c>
      <c r="P41" s="150">
        <f t="shared" si="12"/>
        <v>8008399.1139041092</v>
      </c>
      <c r="Q41" s="150">
        <f t="shared" si="12"/>
        <v>9436616.6789897233</v>
      </c>
      <c r="R41" s="150">
        <f t="shared" si="12"/>
        <v>11320842.677560452</v>
      </c>
      <c r="S41" s="150">
        <f t="shared" si="12"/>
        <v>13447515.254241642</v>
      </c>
      <c r="T41" s="150">
        <f t="shared" si="12"/>
        <v>17065724.392853912</v>
      </c>
      <c r="U41" s="150">
        <f t="shared" si="12"/>
        <v>21322654.056564093</v>
      </c>
      <c r="V41" s="150">
        <f t="shared" si="12"/>
        <v>3049895.2993123224</v>
      </c>
      <c r="W41" s="150">
        <f t="shared" si="12"/>
        <v>3049895.2993123224</v>
      </c>
    </row>
    <row r="42" spans="1:23" ht="15">
      <c r="A42" s="142"/>
      <c r="B42" s="143"/>
      <c r="C42" s="143"/>
      <c r="D42" s="144"/>
      <c r="E42" s="143" t="s">
        <v>67</v>
      </c>
      <c r="F42" s="157"/>
      <c r="G42" s="157"/>
      <c r="J42" s="157"/>
      <c r="K42" s="157"/>
      <c r="L42" s="157"/>
      <c r="M42" s="157"/>
      <c r="N42" s="165"/>
      <c r="O42" s="165"/>
      <c r="P42" s="165"/>
      <c r="Q42" s="165"/>
      <c r="R42" s="165"/>
      <c r="S42" s="165"/>
      <c r="T42" s="165"/>
      <c r="U42" s="165"/>
      <c r="V42" s="165"/>
      <c r="W42" s="165"/>
    </row>
    <row r="43" spans="1:23" ht="15.75" thickBot="1">
      <c r="A43" s="142"/>
      <c r="B43" s="143"/>
      <c r="C43" s="143"/>
      <c r="D43" s="144"/>
      <c r="E43" s="160" t="s">
        <v>210</v>
      </c>
      <c r="F43" s="161"/>
      <c r="G43" s="161" t="s">
        <v>48</v>
      </c>
      <c r="H43" s="161"/>
      <c r="J43" s="161">
        <f t="shared" ref="J43:W43" si="13" xml:space="preserve"> J35 + J41</f>
        <v>10307602</v>
      </c>
      <c r="K43" s="161">
        <f t="shared" si="13"/>
        <v>10543998</v>
      </c>
      <c r="L43" s="161">
        <f t="shared" si="13"/>
        <v>11113428</v>
      </c>
      <c r="M43" s="161">
        <f t="shared" si="13"/>
        <v>13736054</v>
      </c>
      <c r="N43" s="161">
        <f t="shared" si="13"/>
        <v>15176495</v>
      </c>
      <c r="O43" s="161">
        <f t="shared" si="13"/>
        <v>16972465</v>
      </c>
      <c r="P43" s="161">
        <f t="shared" si="13"/>
        <v>16785630.636126332</v>
      </c>
      <c r="Q43" s="161">
        <f t="shared" si="13"/>
        <v>17925775.612323057</v>
      </c>
      <c r="R43" s="161">
        <f t="shared" si="13"/>
        <v>19466373.466449343</v>
      </c>
      <c r="S43" s="161">
        <f t="shared" si="13"/>
        <v>23193862.343130529</v>
      </c>
      <c r="T43" s="161">
        <f t="shared" si="13"/>
        <v>25807332.226187244</v>
      </c>
      <c r="U43" s="161">
        <f t="shared" si="13"/>
        <v>29059522.63434187</v>
      </c>
      <c r="V43" s="161">
        <f t="shared" si="13"/>
        <v>3049895.2993123224</v>
      </c>
      <c r="W43" s="161">
        <f t="shared" si="13"/>
        <v>3049895.2993123224</v>
      </c>
    </row>
    <row r="44" spans="1:23" ht="15.75" thickTop="1">
      <c r="A44" s="142"/>
      <c r="B44" s="143"/>
      <c r="C44" s="143"/>
      <c r="D44" s="144"/>
      <c r="E44" s="143"/>
      <c r="F44" s="157"/>
      <c r="G44" s="157"/>
      <c r="J44" s="157"/>
      <c r="K44" s="157"/>
      <c r="L44" s="157"/>
      <c r="M44" s="157"/>
      <c r="N44" s="165"/>
      <c r="O44" s="165"/>
      <c r="P44" s="165"/>
      <c r="Q44" s="165"/>
      <c r="R44" s="165"/>
      <c r="S44" s="165"/>
      <c r="T44" s="165"/>
      <c r="U44" s="165"/>
      <c r="V44" s="165"/>
      <c r="W44" s="165"/>
    </row>
    <row r="45" spans="1:23" ht="15">
      <c r="A45" s="142"/>
      <c r="B45" s="143"/>
      <c r="C45" s="143" t="s">
        <v>52</v>
      </c>
      <c r="D45" s="144"/>
      <c r="E45" s="146"/>
      <c r="F45" s="147"/>
      <c r="G45" s="147"/>
      <c r="J45" s="147"/>
      <c r="K45" s="147"/>
      <c r="L45" s="147"/>
      <c r="M45" s="147"/>
      <c r="N45" s="148"/>
      <c r="O45" s="148"/>
      <c r="P45" s="148"/>
      <c r="Q45" s="148"/>
      <c r="R45" s="148"/>
      <c r="S45" s="148"/>
      <c r="T45" s="148"/>
      <c r="U45" s="148"/>
      <c r="V45" s="148"/>
      <c r="W45" s="148"/>
    </row>
    <row r="46" spans="1:23" s="353" customFormat="1" ht="15">
      <c r="A46" s="380"/>
      <c r="B46" s="198"/>
      <c r="C46" s="198"/>
      <c r="D46" s="199"/>
      <c r="E46" s="200" t="s">
        <v>111</v>
      </c>
      <c r="F46" s="201"/>
      <c r="G46" s="201" t="s">
        <v>48</v>
      </c>
      <c r="J46" s="201">
        <v>2200000</v>
      </c>
      <c r="K46" s="201">
        <v>2200000</v>
      </c>
      <c r="L46" s="201">
        <v>2200000</v>
      </c>
      <c r="M46" s="201">
        <v>2200000</v>
      </c>
      <c r="N46" s="202">
        <v>2200000</v>
      </c>
      <c r="O46" s="202">
        <v>2200000</v>
      </c>
      <c r="P46" s="382">
        <f xml:space="preserve"> Equity!P$65</f>
        <v>2200000</v>
      </c>
      <c r="Q46" s="382">
        <f xml:space="preserve"> Equity!Q$65</f>
        <v>2200000</v>
      </c>
      <c r="R46" s="382">
        <f xml:space="preserve"> Equity!R$65</f>
        <v>2200000</v>
      </c>
      <c r="S46" s="382">
        <f xml:space="preserve"> Equity!S$65</f>
        <v>2200000</v>
      </c>
      <c r="T46" s="382">
        <f xml:space="preserve"> Equity!T$65</f>
        <v>2200000</v>
      </c>
      <c r="U46" s="382">
        <f xml:space="preserve"> Equity!U$65</f>
        <v>2200000</v>
      </c>
      <c r="V46" s="382">
        <f xml:space="preserve"> Equity!V$65</f>
        <v>0</v>
      </c>
      <c r="W46" s="382">
        <f xml:space="preserve"> Equity!W$65</f>
        <v>0</v>
      </c>
    </row>
    <row r="47" spans="1:23" s="353" customFormat="1" ht="15">
      <c r="A47" s="380"/>
      <c r="B47" s="198"/>
      <c r="C47" s="198"/>
      <c r="D47" s="199"/>
      <c r="E47" s="200" t="s">
        <v>211</v>
      </c>
      <c r="F47" s="201"/>
      <c r="G47" s="201" t="s">
        <v>48</v>
      </c>
      <c r="J47" s="201">
        <v>1443645</v>
      </c>
      <c r="K47" s="201">
        <v>2472076</v>
      </c>
      <c r="L47" s="201">
        <v>1464312</v>
      </c>
      <c r="M47" s="201">
        <v>1512067</v>
      </c>
      <c r="N47" s="202">
        <v>1997917</v>
      </c>
      <c r="O47" s="78">
        <v>2021608</v>
      </c>
      <c r="P47" s="382">
        <f xml:space="preserve"> Equity!P$77</f>
        <v>2536753.6384197744</v>
      </c>
      <c r="Q47" s="382">
        <f xml:space="preserve"> Equity!Q$77</f>
        <v>3141368.7454710538</v>
      </c>
      <c r="R47" s="382">
        <f xml:space="preserve"> Equity!R$77</f>
        <v>3862960.9217698937</v>
      </c>
      <c r="S47" s="382">
        <f xml:space="preserve"> Equity!S$77</f>
        <v>4718184.9102823595</v>
      </c>
      <c r="T47" s="382">
        <f xml:space="preserve"> Equity!T$77</f>
        <v>5724524.482161874</v>
      </c>
      <c r="U47" s="382">
        <f xml:space="preserve"> Equity!U$77</f>
        <v>6936586.4518769309</v>
      </c>
      <c r="V47" s="382">
        <f xml:space="preserve"> Equity!V$77</f>
        <v>0</v>
      </c>
      <c r="W47" s="382">
        <f xml:space="preserve"> Equity!W$77</f>
        <v>0</v>
      </c>
    </row>
    <row r="48" spans="1:23" s="353" customFormat="1" ht="15">
      <c r="A48" s="380"/>
      <c r="B48" s="198"/>
      <c r="C48" s="198"/>
      <c r="D48" s="199"/>
      <c r="E48" s="200" t="s">
        <v>212</v>
      </c>
      <c r="F48" s="201"/>
      <c r="G48" s="201" t="s">
        <v>48</v>
      </c>
      <c r="J48" s="201">
        <v>1250000</v>
      </c>
      <c r="K48" s="201">
        <v>0</v>
      </c>
      <c r="L48" s="201">
        <v>1450000</v>
      </c>
      <c r="M48" s="201">
        <v>2700000</v>
      </c>
      <c r="N48" s="202">
        <v>2900000</v>
      </c>
      <c r="O48" s="78">
        <v>3350000</v>
      </c>
      <c r="P48" s="382">
        <f xml:space="preserve"> Equity!P$46</f>
        <v>463631.07457779674</v>
      </c>
      <c r="Q48" s="382">
        <f xml:space="preserve"> Equity!Q$46</f>
        <v>544153.59634615108</v>
      </c>
      <c r="R48" s="382">
        <f xml:space="preserve"> Equity!R$46</f>
        <v>649432.95866895653</v>
      </c>
      <c r="S48" s="382">
        <f xml:space="preserve"> Equity!S$46</f>
        <v>769701.58966121916</v>
      </c>
      <c r="T48" s="382">
        <f xml:space="preserve"> Equity!T$46</f>
        <v>905705.61469156388</v>
      </c>
      <c r="U48" s="382">
        <f xml:space="preserve"> Equity!U$46</f>
        <v>1090855.7727435529</v>
      </c>
      <c r="V48" s="382">
        <f xml:space="preserve"> Equity!V$46</f>
        <v>0</v>
      </c>
      <c r="W48" s="382">
        <f xml:space="preserve"> Equity!W$46</f>
        <v>0</v>
      </c>
    </row>
    <row r="49" spans="1:23" ht="15">
      <c r="A49" s="142"/>
      <c r="B49" s="143"/>
      <c r="C49" s="143"/>
      <c r="D49" s="144"/>
      <c r="E49" s="151" t="s">
        <v>213</v>
      </c>
      <c r="F49" s="152"/>
      <c r="G49" s="152" t="s">
        <v>48</v>
      </c>
      <c r="H49" s="10"/>
      <c r="J49" s="152">
        <f t="shared" ref="J49:W49" si="14">SUM(J46:J48)</f>
        <v>4893645</v>
      </c>
      <c r="K49" s="152">
        <f t="shared" si="14"/>
        <v>4672076</v>
      </c>
      <c r="L49" s="152">
        <f t="shared" si="14"/>
        <v>5114312</v>
      </c>
      <c r="M49" s="152">
        <f t="shared" si="14"/>
        <v>6412067</v>
      </c>
      <c r="N49" s="152">
        <f t="shared" si="14"/>
        <v>7097917</v>
      </c>
      <c r="O49" s="152">
        <f t="shared" si="14"/>
        <v>7571608</v>
      </c>
      <c r="P49" s="152">
        <f t="shared" si="14"/>
        <v>5200384.7129975706</v>
      </c>
      <c r="Q49" s="152">
        <f t="shared" si="14"/>
        <v>5885522.3418172048</v>
      </c>
      <c r="R49" s="152">
        <f t="shared" si="14"/>
        <v>6712393.8804388503</v>
      </c>
      <c r="S49" s="152">
        <f t="shared" si="14"/>
        <v>7687886.4999435786</v>
      </c>
      <c r="T49" s="152">
        <f t="shared" si="14"/>
        <v>8830230.0968534388</v>
      </c>
      <c r="U49" s="152">
        <f t="shared" si="14"/>
        <v>10227442.224620484</v>
      </c>
      <c r="V49" s="152">
        <f t="shared" si="14"/>
        <v>0</v>
      </c>
      <c r="W49" s="152">
        <f t="shared" si="14"/>
        <v>0</v>
      </c>
    </row>
    <row r="50" spans="1:23" ht="15">
      <c r="A50" s="142"/>
      <c r="B50" s="143"/>
      <c r="C50" s="143"/>
      <c r="D50" s="144"/>
      <c r="E50" s="145" t="s">
        <v>67</v>
      </c>
      <c r="F50" s="147"/>
      <c r="G50" s="147"/>
      <c r="J50" s="147"/>
      <c r="K50" s="147"/>
      <c r="L50" s="147"/>
      <c r="M50" s="147"/>
      <c r="N50" s="148"/>
      <c r="O50" s="148"/>
      <c r="P50" s="148"/>
      <c r="Q50" s="148"/>
      <c r="R50" s="148"/>
      <c r="S50" s="148"/>
      <c r="T50" s="148"/>
      <c r="U50" s="148"/>
      <c r="V50" s="148"/>
      <c r="W50" s="148"/>
    </row>
    <row r="51" spans="1:23" ht="15">
      <c r="A51" s="142"/>
      <c r="B51" s="143"/>
      <c r="C51" s="143" t="s">
        <v>53</v>
      </c>
      <c r="D51" s="144"/>
      <c r="E51" s="146"/>
      <c r="F51" s="147"/>
      <c r="G51" s="147"/>
      <c r="J51" s="147"/>
      <c r="K51" s="147"/>
      <c r="L51" s="147"/>
      <c r="M51" s="147"/>
      <c r="N51" s="148"/>
      <c r="O51" s="148"/>
      <c r="P51" s="148"/>
      <c r="Q51" s="148"/>
      <c r="R51" s="148"/>
      <c r="S51" s="148"/>
      <c r="T51" s="148"/>
      <c r="U51" s="148"/>
      <c r="V51" s="148"/>
      <c r="W51" s="148"/>
    </row>
    <row r="52" spans="1:23" ht="15">
      <c r="A52" s="142"/>
      <c r="B52" s="143"/>
      <c r="C52" s="143"/>
      <c r="D52" s="144"/>
      <c r="E52" s="145" t="s">
        <v>214</v>
      </c>
      <c r="F52" s="147"/>
      <c r="G52" s="147" t="s">
        <v>48</v>
      </c>
      <c r="J52" s="147">
        <v>7545</v>
      </c>
      <c r="K52" s="147">
        <v>299400</v>
      </c>
      <c r="L52" s="147">
        <v>968400</v>
      </c>
      <c r="M52" s="147">
        <v>1024064</v>
      </c>
      <c r="N52" s="148">
        <v>688800</v>
      </c>
      <c r="O52" s="202">
        <v>1035600</v>
      </c>
      <c r="P52" s="181">
        <f xml:space="preserve"> FinCosts!P$62</f>
        <v>1517800</v>
      </c>
      <c r="Q52" s="181">
        <f xml:space="preserve"> FinCosts!Q$62</f>
        <v>1500000</v>
      </c>
      <c r="R52" s="181">
        <f xml:space="preserve"> FinCosts!R$62</f>
        <v>2000000</v>
      </c>
      <c r="S52" s="181">
        <f xml:space="preserve"> FinCosts!S$62</f>
        <v>3000000</v>
      </c>
      <c r="T52" s="181">
        <f xml:space="preserve"> FinCosts!T$62</f>
        <v>2400000</v>
      </c>
      <c r="U52" s="181">
        <f xml:space="preserve"> FinCosts!U$62</f>
        <v>1800000</v>
      </c>
      <c r="V52" s="181">
        <f xml:space="preserve"> FinCosts!V$62</f>
        <v>0</v>
      </c>
      <c r="W52" s="181">
        <f xml:space="preserve"> FinCosts!W$62</f>
        <v>0</v>
      </c>
    </row>
    <row r="53" spans="1:23" s="353" customFormat="1" ht="15">
      <c r="A53" s="380"/>
      <c r="B53" s="198"/>
      <c r="C53" s="198"/>
      <c r="D53" s="199"/>
      <c r="E53" s="200" t="s">
        <v>215</v>
      </c>
      <c r="F53" s="201"/>
      <c r="G53" s="201" t="s">
        <v>48</v>
      </c>
      <c r="J53" s="201">
        <v>1005979</v>
      </c>
      <c r="K53" s="201">
        <v>939447</v>
      </c>
      <c r="L53" s="201">
        <v>924063</v>
      </c>
      <c r="M53" s="201">
        <v>959294</v>
      </c>
      <c r="N53" s="201">
        <v>1337098</v>
      </c>
      <c r="O53" s="78">
        <v>1584155</v>
      </c>
      <c r="P53" s="381">
        <f xml:space="preserve"> Tax!P$55</f>
        <v>1689286.7629428115</v>
      </c>
      <c r="Q53" s="381">
        <f xml:space="preserve"> Tax!Q$55</f>
        <v>1812677.6011165418</v>
      </c>
      <c r="R53" s="381">
        <f xml:space="preserve"> Tax!R$55</f>
        <v>1959941.3105652845</v>
      </c>
      <c r="S53" s="381">
        <f xml:space="preserve"> Tax!S$55</f>
        <v>2134476.8184249713</v>
      </c>
      <c r="T53" s="381">
        <f xml:space="preserve"> Tax!T$55</f>
        <v>2339852.241257526</v>
      </c>
      <c r="U53" s="381">
        <f xml:space="preserve"> Tax!U$55</f>
        <v>2587211.8269136613</v>
      </c>
      <c r="V53" s="381">
        <f xml:space="preserve"> Tax!V$55</f>
        <v>0</v>
      </c>
      <c r="W53" s="381">
        <f xml:space="preserve"> Tax!W$55</f>
        <v>0</v>
      </c>
    </row>
    <row r="54" spans="1:23" ht="15">
      <c r="A54" s="142"/>
      <c r="B54" s="143"/>
      <c r="C54" s="143"/>
      <c r="D54" s="144"/>
      <c r="E54" s="151" t="s">
        <v>216</v>
      </c>
      <c r="F54" s="152"/>
      <c r="G54" s="152" t="s">
        <v>48</v>
      </c>
      <c r="H54" s="10"/>
      <c r="J54" s="152">
        <f t="shared" ref="J54:W54" si="15">SUM(J52:J53)</f>
        <v>1013524</v>
      </c>
      <c r="K54" s="152">
        <f t="shared" si="15"/>
        <v>1238847</v>
      </c>
      <c r="L54" s="152">
        <f t="shared" si="15"/>
        <v>1892463</v>
      </c>
      <c r="M54" s="152">
        <f t="shared" si="15"/>
        <v>1983358</v>
      </c>
      <c r="N54" s="152">
        <f t="shared" si="15"/>
        <v>2025898</v>
      </c>
      <c r="O54" s="152">
        <f t="shared" si="15"/>
        <v>2619755</v>
      </c>
      <c r="P54" s="152">
        <f t="shared" si="15"/>
        <v>3207086.7629428115</v>
      </c>
      <c r="Q54" s="152">
        <f t="shared" si="15"/>
        <v>3312677.6011165418</v>
      </c>
      <c r="R54" s="152">
        <f t="shared" si="15"/>
        <v>3959941.3105652845</v>
      </c>
      <c r="S54" s="152">
        <f t="shared" si="15"/>
        <v>5134476.8184249718</v>
      </c>
      <c r="T54" s="152">
        <f t="shared" si="15"/>
        <v>4739852.241257526</v>
      </c>
      <c r="U54" s="152">
        <f t="shared" si="15"/>
        <v>4387211.8269136613</v>
      </c>
      <c r="V54" s="152">
        <f t="shared" si="15"/>
        <v>0</v>
      </c>
      <c r="W54" s="152">
        <f t="shared" si="15"/>
        <v>0</v>
      </c>
    </row>
    <row r="55" spans="1:23" ht="15">
      <c r="A55" s="142"/>
      <c r="B55" s="143"/>
      <c r="C55" s="143"/>
      <c r="D55" s="144"/>
      <c r="E55" s="156"/>
      <c r="F55" s="153"/>
      <c r="G55" s="153"/>
      <c r="J55" s="153"/>
      <c r="K55" s="153"/>
      <c r="L55" s="153"/>
      <c r="M55" s="153"/>
      <c r="N55" s="166"/>
      <c r="O55" s="166"/>
      <c r="P55" s="166"/>
      <c r="Q55" s="166"/>
      <c r="R55" s="166"/>
      <c r="S55" s="166"/>
      <c r="T55" s="166"/>
      <c r="U55" s="166"/>
      <c r="V55" s="166"/>
      <c r="W55" s="166"/>
    </row>
    <row r="56" spans="1:23" ht="15">
      <c r="A56" s="142"/>
      <c r="B56" s="143"/>
      <c r="C56" s="143" t="s">
        <v>54</v>
      </c>
      <c r="D56" s="144"/>
      <c r="E56" s="146"/>
      <c r="F56" s="147"/>
      <c r="G56" s="147"/>
      <c r="J56" s="147"/>
      <c r="K56" s="147"/>
      <c r="L56" s="147"/>
      <c r="M56" s="147"/>
      <c r="N56" s="147"/>
      <c r="O56" s="147"/>
      <c r="P56" s="148"/>
      <c r="Q56" s="148"/>
      <c r="R56" s="148"/>
      <c r="S56" s="148"/>
      <c r="T56" s="148"/>
      <c r="U56" s="148"/>
      <c r="V56" s="148"/>
      <c r="W56" s="148"/>
    </row>
    <row r="57" spans="1:23" s="353" customFormat="1" ht="15">
      <c r="A57" s="380"/>
      <c r="B57" s="198"/>
      <c r="C57" s="198"/>
      <c r="D57" s="199"/>
      <c r="E57" s="200" t="s">
        <v>217</v>
      </c>
      <c r="F57" s="201"/>
      <c r="G57" s="201" t="s">
        <v>48</v>
      </c>
      <c r="J57" s="201">
        <v>3161099</v>
      </c>
      <c r="K57" s="201">
        <v>3259873</v>
      </c>
      <c r="L57" s="201">
        <v>3570614</v>
      </c>
      <c r="M57" s="201">
        <v>5319023</v>
      </c>
      <c r="N57" s="202">
        <v>6014498</v>
      </c>
      <c r="O57" s="202">
        <v>6289448</v>
      </c>
      <c r="P57" s="382">
        <f xml:space="preserve"> WorkCap!P$79</f>
        <v>6330750.2876712317</v>
      </c>
      <c r="Q57" s="382">
        <f xml:space="preserve"> WorkCap!Q$79</f>
        <v>7459776.0308219157</v>
      </c>
      <c r="R57" s="382">
        <f xml:space="preserve"> WorkCap!R$79</f>
        <v>8794038.2754452042</v>
      </c>
      <c r="S57" s="382">
        <f xml:space="preserve"> WorkCap!S$79</f>
        <v>10371499.024761984</v>
      </c>
      <c r="T57" s="382">
        <f xml:space="preserve"> WorkCap!T$79</f>
        <v>12237249.888076281</v>
      </c>
      <c r="U57" s="382">
        <f xml:space="preserve"> WorkCap!U$79</f>
        <v>14444868.582807723</v>
      </c>
      <c r="V57" s="382">
        <f xml:space="preserve"> WorkCap!V$79</f>
        <v>0</v>
      </c>
      <c r="W57" s="382">
        <f xml:space="preserve"> WorkCap!W$79</f>
        <v>0</v>
      </c>
    </row>
    <row r="58" spans="1:23" s="78" customFormat="1" ht="15">
      <c r="A58" s="207"/>
      <c r="B58" s="198"/>
      <c r="C58" s="198"/>
      <c r="D58" s="199"/>
      <c r="E58" s="200" t="s">
        <v>218</v>
      </c>
      <c r="F58" s="201"/>
      <c r="G58" s="201" t="s">
        <v>48</v>
      </c>
      <c r="J58" s="201">
        <v>1239334</v>
      </c>
      <c r="K58" s="201">
        <v>1373202</v>
      </c>
      <c r="L58" s="201">
        <v>536039</v>
      </c>
      <c r="M58" s="201">
        <v>21606</v>
      </c>
      <c r="N58" s="208">
        <v>38182</v>
      </c>
      <c r="O58" s="78">
        <v>491654</v>
      </c>
      <c r="P58" s="202">
        <f>IF(P$97&lt;0,ABS(P$97),0)</f>
        <v>2047408.8725147173</v>
      </c>
      <c r="Q58" s="202">
        <f t="shared" ref="Q58:W58" si="16">IF(Q$97&lt;0,ABS(Q$97),0)</f>
        <v>1267799.6385673955</v>
      </c>
      <c r="R58" s="202">
        <f t="shared" si="16"/>
        <v>0</v>
      </c>
      <c r="S58" s="202">
        <f t="shared" si="16"/>
        <v>0</v>
      </c>
      <c r="T58" s="202">
        <f t="shared" si="16"/>
        <v>0</v>
      </c>
      <c r="U58" s="202">
        <f t="shared" si="16"/>
        <v>0</v>
      </c>
      <c r="V58" s="202">
        <f t="shared" si="16"/>
        <v>0</v>
      </c>
      <c r="W58" s="202">
        <f t="shared" si="16"/>
        <v>0</v>
      </c>
    </row>
    <row r="59" spans="1:23" ht="15">
      <c r="A59" s="142"/>
      <c r="B59" s="143"/>
      <c r="C59" s="143"/>
      <c r="D59" s="144"/>
      <c r="E59" s="151" t="s">
        <v>219</v>
      </c>
      <c r="F59" s="152"/>
      <c r="G59" s="152" t="s">
        <v>48</v>
      </c>
      <c r="H59" s="10"/>
      <c r="J59" s="152">
        <f t="shared" ref="J59:W59" si="17">SUM(J57:J58)</f>
        <v>4400433</v>
      </c>
      <c r="K59" s="152">
        <f t="shared" si="17"/>
        <v>4633075</v>
      </c>
      <c r="L59" s="152">
        <f t="shared" si="17"/>
        <v>4106653</v>
      </c>
      <c r="M59" s="152">
        <f t="shared" si="17"/>
        <v>5340629</v>
      </c>
      <c r="N59" s="152">
        <f t="shared" si="17"/>
        <v>6052680</v>
      </c>
      <c r="O59" s="152">
        <f t="shared" si="17"/>
        <v>6781102</v>
      </c>
      <c r="P59" s="152">
        <f t="shared" si="17"/>
        <v>8378159.1601859489</v>
      </c>
      <c r="Q59" s="152">
        <f t="shared" si="17"/>
        <v>8727575.6693893112</v>
      </c>
      <c r="R59" s="152">
        <f t="shared" si="17"/>
        <v>8794038.2754452042</v>
      </c>
      <c r="S59" s="152">
        <f t="shared" si="17"/>
        <v>10371499.024761984</v>
      </c>
      <c r="T59" s="152">
        <f t="shared" si="17"/>
        <v>12237249.888076281</v>
      </c>
      <c r="U59" s="152">
        <f t="shared" si="17"/>
        <v>14444868.582807723</v>
      </c>
      <c r="V59" s="152">
        <f t="shared" si="17"/>
        <v>0</v>
      </c>
      <c r="W59" s="152">
        <f t="shared" si="17"/>
        <v>0</v>
      </c>
    </row>
    <row r="60" spans="1:23" ht="15">
      <c r="A60" s="142"/>
      <c r="B60" s="143"/>
      <c r="C60" s="143"/>
      <c r="D60" s="144"/>
      <c r="E60" s="156" t="s">
        <v>67</v>
      </c>
      <c r="F60" s="153"/>
      <c r="G60" s="153"/>
      <c r="J60" s="153"/>
      <c r="K60" s="153"/>
      <c r="L60" s="153"/>
      <c r="M60" s="153"/>
      <c r="N60" s="166"/>
      <c r="O60" s="166"/>
      <c r="P60" s="166"/>
      <c r="Q60" s="166"/>
      <c r="R60" s="166"/>
      <c r="S60" s="166"/>
      <c r="T60" s="166"/>
      <c r="U60" s="166"/>
      <c r="V60" s="166"/>
      <c r="W60" s="166"/>
    </row>
    <row r="61" spans="1:23" ht="15">
      <c r="A61" s="142"/>
      <c r="B61" s="143"/>
      <c r="C61" s="143"/>
      <c r="D61" s="144"/>
      <c r="E61" s="156" t="s">
        <v>220</v>
      </c>
      <c r="F61" s="153"/>
      <c r="G61" s="153" t="s">
        <v>48</v>
      </c>
      <c r="J61" s="153">
        <f t="shared" ref="J61:W61" si="18" xml:space="preserve"> J54 + J59</f>
        <v>5413957</v>
      </c>
      <c r="K61" s="153">
        <f t="shared" si="18"/>
        <v>5871922</v>
      </c>
      <c r="L61" s="153">
        <f t="shared" si="18"/>
        <v>5999116</v>
      </c>
      <c r="M61" s="153">
        <f t="shared" si="18"/>
        <v>7323987</v>
      </c>
      <c r="N61" s="153">
        <f t="shared" si="18"/>
        <v>8078578</v>
      </c>
      <c r="O61" s="153">
        <f t="shared" si="18"/>
        <v>9400857</v>
      </c>
      <c r="P61" s="153">
        <f t="shared" si="18"/>
        <v>11585245.923128761</v>
      </c>
      <c r="Q61" s="153">
        <f t="shared" si="18"/>
        <v>12040253.270505853</v>
      </c>
      <c r="R61" s="153">
        <f t="shared" si="18"/>
        <v>12753979.58601049</v>
      </c>
      <c r="S61" s="153">
        <f t="shared" si="18"/>
        <v>15505975.843186956</v>
      </c>
      <c r="T61" s="153">
        <f t="shared" si="18"/>
        <v>16977102.129333809</v>
      </c>
      <c r="U61" s="153">
        <f t="shared" si="18"/>
        <v>18832080.409721386</v>
      </c>
      <c r="V61" s="153">
        <f t="shared" si="18"/>
        <v>0</v>
      </c>
      <c r="W61" s="153">
        <f t="shared" si="18"/>
        <v>0</v>
      </c>
    </row>
    <row r="62" spans="1:23" ht="15">
      <c r="A62" s="142"/>
      <c r="B62" s="143"/>
      <c r="C62" s="143"/>
      <c r="D62" s="144"/>
      <c r="E62" s="156" t="s">
        <v>67</v>
      </c>
      <c r="F62" s="153"/>
      <c r="G62" s="153"/>
      <c r="J62" s="153"/>
      <c r="K62" s="153"/>
      <c r="L62" s="153"/>
      <c r="M62" s="153"/>
      <c r="N62" s="166"/>
      <c r="O62" s="166"/>
      <c r="P62" s="166"/>
      <c r="Q62" s="166"/>
      <c r="R62" s="166"/>
      <c r="S62" s="166"/>
      <c r="T62" s="166"/>
      <c r="U62" s="166"/>
      <c r="V62" s="166"/>
      <c r="W62" s="166"/>
    </row>
    <row r="63" spans="1:23" ht="15.75" thickBot="1">
      <c r="A63" s="142"/>
      <c r="B63" s="143"/>
      <c r="C63" s="143"/>
      <c r="D63" s="144"/>
      <c r="E63" s="160" t="s">
        <v>221</v>
      </c>
      <c r="F63" s="161"/>
      <c r="G63" s="161" t="s">
        <v>48</v>
      </c>
      <c r="J63" s="161">
        <f t="shared" ref="J63:W63" si="19" xml:space="preserve"> J49 + J61</f>
        <v>10307602</v>
      </c>
      <c r="K63" s="161">
        <f t="shared" si="19"/>
        <v>10543998</v>
      </c>
      <c r="L63" s="161">
        <f t="shared" si="19"/>
        <v>11113428</v>
      </c>
      <c r="M63" s="161">
        <f t="shared" si="19"/>
        <v>13736054</v>
      </c>
      <c r="N63" s="161">
        <f t="shared" si="19"/>
        <v>15176495</v>
      </c>
      <c r="O63" s="161">
        <f t="shared" si="19"/>
        <v>16972465</v>
      </c>
      <c r="P63" s="161">
        <f t="shared" si="19"/>
        <v>16785630.636126332</v>
      </c>
      <c r="Q63" s="161">
        <f t="shared" si="19"/>
        <v>17925775.612323057</v>
      </c>
      <c r="R63" s="161">
        <f t="shared" si="19"/>
        <v>19466373.466449339</v>
      </c>
      <c r="S63" s="161">
        <f t="shared" si="19"/>
        <v>23193862.343130536</v>
      </c>
      <c r="T63" s="161">
        <f t="shared" si="19"/>
        <v>25807332.226187248</v>
      </c>
      <c r="U63" s="161">
        <f t="shared" si="19"/>
        <v>29059522.63434187</v>
      </c>
      <c r="V63" s="161">
        <f t="shared" si="19"/>
        <v>0</v>
      </c>
      <c r="W63" s="161">
        <f t="shared" si="19"/>
        <v>0</v>
      </c>
    </row>
    <row r="64" spans="1:23" ht="15.75" thickTop="1">
      <c r="A64" s="142"/>
      <c r="B64" s="143"/>
      <c r="C64" s="143"/>
      <c r="D64" s="144"/>
      <c r="E64" s="145" t="s">
        <v>67</v>
      </c>
      <c r="F64" s="147"/>
      <c r="G64" s="147"/>
      <c r="J64" s="147"/>
      <c r="K64" s="147"/>
      <c r="L64" s="147"/>
      <c r="M64" s="147"/>
      <c r="N64" s="148"/>
      <c r="O64" s="148"/>
      <c r="P64" s="148"/>
      <c r="Q64" s="148"/>
      <c r="R64" s="148"/>
      <c r="S64" s="148"/>
      <c r="T64" s="148"/>
      <c r="U64" s="148"/>
      <c r="V64" s="148"/>
      <c r="W64" s="148"/>
    </row>
    <row r="65" spans="1:23" ht="15">
      <c r="A65" s="142"/>
      <c r="B65" s="143"/>
      <c r="C65" s="143"/>
      <c r="D65" s="144"/>
      <c r="E65" s="167" t="s">
        <v>222</v>
      </c>
      <c r="F65" s="168">
        <v>0</v>
      </c>
      <c r="G65" s="168" t="s">
        <v>48</v>
      </c>
      <c r="J65" s="168">
        <f xml:space="preserve"> J43 - J63</f>
        <v>0</v>
      </c>
      <c r="K65" s="168">
        <f xml:space="preserve"> K43 - K63</f>
        <v>0</v>
      </c>
      <c r="L65" s="168">
        <f xml:space="preserve"> L43 - L63</f>
        <v>0</v>
      </c>
      <c r="M65" s="168">
        <f xml:space="preserve"> M43 - M63</f>
        <v>0</v>
      </c>
      <c r="N65" s="168">
        <f xml:space="preserve"> N43 - N63</f>
        <v>0</v>
      </c>
      <c r="O65" s="168"/>
      <c r="P65" s="168"/>
      <c r="Q65" s="168"/>
      <c r="R65" s="168"/>
      <c r="S65" s="168"/>
      <c r="T65" s="168"/>
      <c r="U65" s="168"/>
      <c r="V65" s="168"/>
      <c r="W65" s="168"/>
    </row>
    <row r="66" spans="1:23">
      <c r="A66" s="169" t="s">
        <v>55</v>
      </c>
      <c r="B66" s="170"/>
      <c r="C66" s="171"/>
      <c r="D66" s="172"/>
      <c r="E66" s="173"/>
      <c r="F66" s="173"/>
      <c r="G66" s="173"/>
      <c r="J66" s="174"/>
      <c r="K66" s="174"/>
      <c r="L66" s="174"/>
      <c r="M66" s="174"/>
      <c r="N66" s="174"/>
      <c r="O66" s="174"/>
      <c r="P66" s="174"/>
      <c r="Q66" s="174"/>
      <c r="R66" s="174"/>
      <c r="S66" s="174"/>
      <c r="T66" s="174"/>
      <c r="U66" s="174"/>
      <c r="V66" s="174"/>
      <c r="W66" s="174"/>
    </row>
    <row r="67" spans="1:23">
      <c r="A67" s="169"/>
      <c r="B67" s="170"/>
      <c r="C67" s="171"/>
      <c r="D67" s="172"/>
      <c r="E67" s="173" t="s">
        <v>67</v>
      </c>
      <c r="F67" s="173"/>
      <c r="G67" s="173"/>
      <c r="J67" s="174"/>
      <c r="K67" s="174"/>
      <c r="L67" s="174"/>
      <c r="M67" s="174"/>
      <c r="N67" s="174"/>
      <c r="O67" s="174"/>
      <c r="P67" s="174"/>
      <c r="Q67" s="174"/>
      <c r="R67" s="174"/>
      <c r="S67" s="174"/>
      <c r="T67" s="174"/>
      <c r="U67" s="174"/>
      <c r="V67" s="174"/>
      <c r="W67" s="174"/>
    </row>
    <row r="68" spans="1:23">
      <c r="A68" s="169"/>
      <c r="B68" s="170"/>
      <c r="C68" s="171"/>
      <c r="D68" s="173"/>
      <c r="E68" s="175" t="s">
        <v>223</v>
      </c>
      <c r="F68" s="173"/>
      <c r="G68" s="174" t="s">
        <v>48</v>
      </c>
      <c r="J68" s="173">
        <f t="shared" ref="J68:U68" si="20" xml:space="preserve"> J43 - J63</f>
        <v>0</v>
      </c>
      <c r="K68" s="173">
        <f t="shared" si="20"/>
        <v>0</v>
      </c>
      <c r="L68" s="173">
        <f t="shared" si="20"/>
        <v>0</v>
      </c>
      <c r="M68" s="173">
        <f t="shared" si="20"/>
        <v>0</v>
      </c>
      <c r="N68" s="173">
        <f t="shared" si="20"/>
        <v>0</v>
      </c>
      <c r="O68" s="173">
        <f t="shared" si="20"/>
        <v>0</v>
      </c>
      <c r="P68" s="173">
        <f xml:space="preserve"> P43 - P63</f>
        <v>0</v>
      </c>
      <c r="Q68" s="173">
        <f t="shared" si="20"/>
        <v>0</v>
      </c>
      <c r="R68" s="173">
        <f t="shared" si="20"/>
        <v>0</v>
      </c>
      <c r="S68" s="173">
        <f t="shared" si="20"/>
        <v>0</v>
      </c>
      <c r="T68" s="173">
        <f t="shared" si="20"/>
        <v>0</v>
      </c>
      <c r="U68" s="173">
        <f t="shared" si="20"/>
        <v>0</v>
      </c>
      <c r="V68" s="173"/>
      <c r="W68" s="173"/>
    </row>
    <row r="69" spans="1:23">
      <c r="A69" s="169"/>
      <c r="B69" s="170"/>
      <c r="C69" s="171"/>
      <c r="D69" s="172"/>
      <c r="E69" s="173" t="s">
        <v>224</v>
      </c>
      <c r="F69" s="176">
        <f xml:space="preserve"> IF(SUM(J69:W69) &lt;&gt; 0, 1, 0)</f>
        <v>0</v>
      </c>
      <c r="G69" s="173" t="s">
        <v>56</v>
      </c>
      <c r="J69" s="176">
        <f xml:space="preserve"> IF( ABS(J68) &gt; 0.001, 1, 0)</f>
        <v>0</v>
      </c>
      <c r="K69" s="176">
        <f t="shared" ref="K69:W69" si="21" xml:space="preserve"> IF( ABS(K68) &gt; 0.001, 1, 0)</f>
        <v>0</v>
      </c>
      <c r="L69" s="176">
        <f t="shared" si="21"/>
        <v>0</v>
      </c>
      <c r="M69" s="176">
        <f t="shared" si="21"/>
        <v>0</v>
      </c>
      <c r="N69" s="176">
        <f t="shared" si="21"/>
        <v>0</v>
      </c>
      <c r="O69" s="176">
        <f t="shared" si="21"/>
        <v>0</v>
      </c>
      <c r="P69" s="176">
        <f t="shared" si="21"/>
        <v>0</v>
      </c>
      <c r="Q69" s="176">
        <f t="shared" si="21"/>
        <v>0</v>
      </c>
      <c r="R69" s="176">
        <f t="shared" si="21"/>
        <v>0</v>
      </c>
      <c r="S69" s="176">
        <f t="shared" si="21"/>
        <v>0</v>
      </c>
      <c r="T69" s="176">
        <f t="shared" si="21"/>
        <v>0</v>
      </c>
      <c r="U69" s="176">
        <f t="shared" si="21"/>
        <v>0</v>
      </c>
      <c r="V69" s="176">
        <f t="shared" si="21"/>
        <v>0</v>
      </c>
      <c r="W69" s="176">
        <f t="shared" si="21"/>
        <v>0</v>
      </c>
    </row>
    <row r="70" spans="1:23" ht="15">
      <c r="A70" s="142"/>
      <c r="B70" s="143"/>
      <c r="C70" s="143"/>
      <c r="D70" s="144"/>
      <c r="E70" s="146" t="s">
        <v>67</v>
      </c>
      <c r="F70" s="147"/>
      <c r="G70" s="147"/>
      <c r="J70" s="147"/>
      <c r="K70" s="147"/>
      <c r="L70" s="147"/>
      <c r="M70" s="147"/>
      <c r="N70" s="148"/>
      <c r="O70" s="148"/>
      <c r="P70" s="148"/>
      <c r="Q70" s="148"/>
      <c r="R70" s="148"/>
      <c r="S70" s="148"/>
      <c r="T70" s="148"/>
      <c r="U70" s="148"/>
      <c r="V70" s="148"/>
      <c r="W70" s="148"/>
    </row>
    <row r="71" spans="1:23" s="277" customFormat="1" ht="15">
      <c r="A71" s="273"/>
      <c r="B71" s="274" t="s">
        <v>57</v>
      </c>
      <c r="C71" s="274"/>
      <c r="D71" s="275"/>
      <c r="E71" s="280"/>
      <c r="F71" s="269"/>
      <c r="G71" s="269"/>
      <c r="J71" s="269"/>
      <c r="K71" s="269"/>
      <c r="L71" s="269"/>
      <c r="M71" s="269"/>
      <c r="N71" s="272"/>
      <c r="O71" s="272"/>
      <c r="P71" s="272"/>
      <c r="Q71" s="272"/>
      <c r="R71" s="272"/>
      <c r="S71" s="272"/>
      <c r="T71" s="272"/>
      <c r="U71" s="272"/>
      <c r="V71" s="272"/>
      <c r="W71" s="272"/>
    </row>
    <row r="72" spans="1:23" ht="15">
      <c r="A72" s="142"/>
      <c r="B72" s="143"/>
      <c r="C72" s="143"/>
      <c r="D72" s="144"/>
      <c r="E72" s="146"/>
      <c r="F72" s="147"/>
      <c r="G72" s="147"/>
      <c r="J72" s="147"/>
      <c r="K72" s="147"/>
      <c r="L72" s="147"/>
      <c r="M72" s="147"/>
      <c r="N72" s="148"/>
      <c r="O72" s="148"/>
      <c r="P72" s="148"/>
      <c r="Q72" s="148"/>
      <c r="R72" s="148"/>
      <c r="S72" s="148"/>
      <c r="T72" s="148"/>
      <c r="U72" s="148"/>
      <c r="V72" s="148"/>
      <c r="W72" s="148"/>
    </row>
    <row r="73" spans="1:23" ht="15">
      <c r="A73" s="142"/>
      <c r="B73" s="143"/>
      <c r="C73" s="143" t="s">
        <v>58</v>
      </c>
      <c r="D73" s="144"/>
      <c r="E73" s="146"/>
      <c r="F73" s="147"/>
      <c r="G73" s="147"/>
      <c r="J73" s="146"/>
      <c r="K73" s="146"/>
      <c r="L73" s="146"/>
      <c r="M73" s="146"/>
      <c r="N73" s="148"/>
      <c r="O73" s="148"/>
      <c r="P73" s="148"/>
      <c r="Q73" s="148"/>
      <c r="R73" s="148"/>
      <c r="S73" s="148"/>
      <c r="T73" s="148"/>
      <c r="U73" s="148"/>
      <c r="V73" s="148"/>
      <c r="W73" s="148"/>
    </row>
    <row r="74" spans="1:23" ht="15">
      <c r="A74" s="142"/>
      <c r="B74" s="143"/>
      <c r="C74" s="143"/>
      <c r="D74" s="144"/>
      <c r="E74" s="145" t="str">
        <f xml:space="preserve"> E$19</f>
        <v>EBITDA</v>
      </c>
      <c r="F74" s="147">
        <f t="shared" ref="F74:W74" si="22" xml:space="preserve"> F$19</f>
        <v>0</v>
      </c>
      <c r="G74" s="147" t="str">
        <f t="shared" si="22"/>
        <v>Kes '000'</v>
      </c>
      <c r="H74" s="58">
        <f xml:space="preserve"> H$19</f>
        <v>106207660.63034081</v>
      </c>
      <c r="I74" s="58">
        <f t="shared" si="22"/>
        <v>0</v>
      </c>
      <c r="J74" s="147">
        <f t="shared" si="22"/>
        <v>3052172</v>
      </c>
      <c r="K74" s="147">
        <f t="shared" si="22"/>
        <v>2821013</v>
      </c>
      <c r="L74" s="147">
        <f t="shared" si="22"/>
        <v>3451479</v>
      </c>
      <c r="M74" s="147">
        <f t="shared" si="22"/>
        <v>6132225</v>
      </c>
      <c r="N74" s="148">
        <f t="shared" si="22"/>
        <v>6058635</v>
      </c>
      <c r="O74" s="148">
        <f t="shared" si="22"/>
        <v>6109886</v>
      </c>
      <c r="P74" s="148">
        <f t="shared" si="22"/>
        <v>8341713.1165499985</v>
      </c>
      <c r="Q74" s="148">
        <f t="shared" si="22"/>
        <v>9829373.8870124966</v>
      </c>
      <c r="R74" s="148">
        <f t="shared" si="22"/>
        <v>11587464.533640373</v>
      </c>
      <c r="S74" s="148">
        <f t="shared" si="22"/>
        <v>13666005.689977627</v>
      </c>
      <c r="T74" s="148">
        <f t="shared" si="22"/>
        <v>16124412.315023715</v>
      </c>
      <c r="U74" s="148">
        <f t="shared" si="22"/>
        <v>19033281.088136598</v>
      </c>
      <c r="V74" s="148">
        <f t="shared" si="22"/>
        <v>0</v>
      </c>
      <c r="W74" s="148">
        <f t="shared" si="22"/>
        <v>0</v>
      </c>
    </row>
    <row r="75" spans="1:23" s="353" customFormat="1" ht="15">
      <c r="A75" s="380"/>
      <c r="B75" s="198"/>
      <c r="C75" s="198"/>
      <c r="D75" s="199"/>
      <c r="E75" s="200" t="s">
        <v>173</v>
      </c>
      <c r="F75" s="201"/>
      <c r="G75" s="201" t="s">
        <v>48</v>
      </c>
      <c r="H75" s="353">
        <f xml:space="preserve"> SUM(J75:W75)</f>
        <v>-2811224.1744440468</v>
      </c>
      <c r="J75" s="201">
        <v>27920</v>
      </c>
      <c r="K75" s="201">
        <v>-109592</v>
      </c>
      <c r="L75" s="201">
        <v>-317482</v>
      </c>
      <c r="M75" s="201">
        <v>189553</v>
      </c>
      <c r="N75" s="202">
        <v>447381</v>
      </c>
      <c r="O75" s="202">
        <v>-1251793</v>
      </c>
      <c r="P75" s="382">
        <f xml:space="preserve"> WorkCap!P$93</f>
        <v>353030.17376712291</v>
      </c>
      <c r="Q75" s="382">
        <f xml:space="preserve"> WorkCap!Q$93</f>
        <v>-299191.82193493145</v>
      </c>
      <c r="R75" s="382">
        <f xml:space="preserve"> WorkCap!R$93</f>
        <v>-353579.49482517038</v>
      </c>
      <c r="S75" s="382">
        <f xml:space="preserve"> WorkCap!S$93</f>
        <v>-418027.09856894705</v>
      </c>
      <c r="T75" s="382">
        <f xml:space="preserve"> WorkCap!T$93</f>
        <v>-494423.97877829056</v>
      </c>
      <c r="U75" s="382">
        <f xml:space="preserve"> WorkCap!U$93</f>
        <v>-585018.95410383027</v>
      </c>
      <c r="V75" s="382">
        <f xml:space="preserve"> WorkCap!V$93</f>
        <v>0</v>
      </c>
      <c r="W75" s="382">
        <f xml:space="preserve"> WorkCap!W$93</f>
        <v>0</v>
      </c>
    </row>
    <row r="76" spans="1:23" s="353" customFormat="1" ht="15">
      <c r="A76" s="380"/>
      <c r="B76" s="198"/>
      <c r="C76" s="198"/>
      <c r="D76" s="199"/>
      <c r="E76" s="200" t="s">
        <v>225</v>
      </c>
      <c r="F76" s="201"/>
      <c r="G76" s="201" t="s">
        <v>48</v>
      </c>
      <c r="H76" s="353">
        <f xml:space="preserve"> SUM(J76:W76)</f>
        <v>-28240596.862435576</v>
      </c>
      <c r="J76" s="201">
        <v>-587588</v>
      </c>
      <c r="K76" s="201">
        <v>-967985</v>
      </c>
      <c r="L76" s="201">
        <v>-750731</v>
      </c>
      <c r="M76" s="201">
        <v>-1350923</v>
      </c>
      <c r="N76" s="202">
        <v>-1732218</v>
      </c>
      <c r="O76" s="202">
        <v>-1357077</v>
      </c>
      <c r="P76" s="382">
        <f xml:space="preserve"> Tax!P$43</f>
        <v>-2252823.4916316662</v>
      </c>
      <c r="Q76" s="382">
        <f xml:space="preserve"> Tax!Q$43</f>
        <v>-2644089.3894370822</v>
      </c>
      <c r="R76" s="382">
        <f xml:space="preserve"> Tax!R$43</f>
        <v>-3155650.9167587785</v>
      </c>
      <c r="S76" s="382">
        <f xml:space="preserve"> Tax!S$43</f>
        <v>-3740046.5969932885</v>
      </c>
      <c r="T76" s="382">
        <f xml:space="preserve"> Tax!T$43</f>
        <v>-4400901.9178404473</v>
      </c>
      <c r="U76" s="382">
        <f xml:space="preserve"> Tax!U$43</f>
        <v>-5300562.5497743124</v>
      </c>
      <c r="V76" s="382">
        <f xml:space="preserve"> Tax!V$43</f>
        <v>0</v>
      </c>
      <c r="W76" s="382">
        <f xml:space="preserve"> Tax!W$43</f>
        <v>0</v>
      </c>
    </row>
    <row r="77" spans="1:23" s="10" customFormat="1" ht="15">
      <c r="A77" s="159"/>
      <c r="B77" s="143"/>
      <c r="C77" s="143"/>
      <c r="D77" s="143"/>
      <c r="E77" s="195" t="s">
        <v>174</v>
      </c>
      <c r="F77" s="196"/>
      <c r="G77" s="196" t="str">
        <f>smu</f>
        <v>Kes '000'</v>
      </c>
      <c r="H77" s="10">
        <f xml:space="preserve"> SUM(J77:W77)</f>
        <v>75155839.593461186</v>
      </c>
      <c r="J77" s="271">
        <f xml:space="preserve"> SUM(J75:J76, J74)</f>
        <v>2492504</v>
      </c>
      <c r="K77" s="271">
        <f>K74+SUM(K75:K76)</f>
        <v>1743436</v>
      </c>
      <c r="L77" s="271">
        <f>L74+SUM(L75:L76)</f>
        <v>2383266</v>
      </c>
      <c r="M77" s="196">
        <f>M74+SUM(M75:M76)</f>
        <v>4970855</v>
      </c>
      <c r="N77" s="196">
        <f>N74+SUM(N75:N76)</f>
        <v>4773798</v>
      </c>
      <c r="O77" s="196">
        <f>O74+SUM(O75:O76)</f>
        <v>3501016</v>
      </c>
      <c r="P77" s="196">
        <f t="shared" ref="P77:W77" si="23">P74+SUM(P75:P76)</f>
        <v>6441919.7986854557</v>
      </c>
      <c r="Q77" s="196">
        <f t="shared" si="23"/>
        <v>6886092.6756404825</v>
      </c>
      <c r="R77" s="196">
        <f t="shared" si="23"/>
        <v>8078234.1220564246</v>
      </c>
      <c r="S77" s="196">
        <f t="shared" si="23"/>
        <v>9507931.9944153912</v>
      </c>
      <c r="T77" s="196">
        <f t="shared" si="23"/>
        <v>11229086.418404978</v>
      </c>
      <c r="U77" s="196">
        <f t="shared" si="23"/>
        <v>13147699.584258456</v>
      </c>
      <c r="V77" s="196">
        <f t="shared" si="23"/>
        <v>0</v>
      </c>
      <c r="W77" s="196">
        <f t="shared" si="23"/>
        <v>0</v>
      </c>
    </row>
    <row r="78" spans="1:23" ht="15">
      <c r="A78" s="142"/>
      <c r="B78" s="143"/>
      <c r="C78" s="143"/>
      <c r="D78" s="144"/>
      <c r="E78" s="268"/>
      <c r="F78" s="268"/>
      <c r="G78" s="268"/>
      <c r="H78" s="268"/>
      <c r="I78" s="268"/>
      <c r="J78" s="146"/>
      <c r="K78" s="268"/>
      <c r="L78" s="268"/>
      <c r="M78" s="268"/>
      <c r="N78" s="268"/>
      <c r="O78" s="268"/>
      <c r="P78" s="268"/>
      <c r="Q78" s="268"/>
      <c r="R78" s="268"/>
      <c r="S78" s="268"/>
      <c r="T78" s="268"/>
      <c r="U78" s="268"/>
      <c r="V78" s="268"/>
      <c r="W78" s="268"/>
    </row>
    <row r="79" spans="1:23" ht="15">
      <c r="A79" s="142"/>
      <c r="B79" s="143"/>
      <c r="C79" s="143" t="s">
        <v>59</v>
      </c>
      <c r="D79" s="144"/>
      <c r="E79" s="146"/>
      <c r="F79" s="147"/>
      <c r="G79" s="147"/>
      <c r="J79" s="147"/>
      <c r="K79" s="147"/>
      <c r="L79" s="147"/>
      <c r="M79" s="147"/>
      <c r="N79" s="148"/>
      <c r="O79" s="148"/>
      <c r="P79" s="148"/>
      <c r="Q79" s="148"/>
      <c r="R79" s="148"/>
      <c r="S79" s="148"/>
      <c r="T79" s="148"/>
      <c r="U79" s="148"/>
      <c r="V79" s="148"/>
      <c r="W79" s="148"/>
    </row>
    <row r="80" spans="1:23" ht="15">
      <c r="A80" s="142"/>
      <c r="B80" s="143"/>
      <c r="C80" s="143"/>
      <c r="D80" s="144"/>
      <c r="E80" s="145" t="s">
        <v>226</v>
      </c>
      <c r="F80" s="147"/>
      <c r="G80" s="147" t="s">
        <v>48</v>
      </c>
      <c r="H80" s="58">
        <f xml:space="preserve"> SUM(J80:W80)</f>
        <v>-10703722</v>
      </c>
      <c r="J80" s="147">
        <v>-943618</v>
      </c>
      <c r="K80" s="147">
        <v>-1175944</v>
      </c>
      <c r="L80" s="147">
        <v>-768133</v>
      </c>
      <c r="M80" s="147">
        <v>-1006161</v>
      </c>
      <c r="N80" s="148">
        <v>-1235075</v>
      </c>
      <c r="O80" s="148">
        <v>-1074791</v>
      </c>
      <c r="P80" s="181">
        <f xml:space="preserve"> FixdAssts!P$123</f>
        <v>-1000000</v>
      </c>
      <c r="Q80" s="181">
        <f xml:space="preserve"> FixdAssts!Q$123</f>
        <v>-500000</v>
      </c>
      <c r="R80" s="181">
        <f xml:space="preserve"> FixdAssts!R$123</f>
        <v>-500000</v>
      </c>
      <c r="S80" s="181">
        <f xml:space="preserve"> FixdAssts!S$123</f>
        <v>-2500000</v>
      </c>
      <c r="T80" s="181">
        <f xml:space="preserve"> FixdAssts!T$123</f>
        <v>0</v>
      </c>
      <c r="U80" s="181">
        <f xml:space="preserve"> FixdAssts!U$123</f>
        <v>0</v>
      </c>
      <c r="V80" s="181">
        <f xml:space="preserve"> FixdAssts!V$123</f>
        <v>0</v>
      </c>
      <c r="W80" s="181">
        <f xml:space="preserve"> FixdAssts!W$123</f>
        <v>0</v>
      </c>
    </row>
    <row r="81" spans="1:23" ht="15">
      <c r="A81" s="142"/>
      <c r="B81" s="143"/>
      <c r="C81" s="143"/>
      <c r="D81" s="144"/>
      <c r="E81" s="145" t="s">
        <v>227</v>
      </c>
      <c r="F81" s="147"/>
      <c r="G81" s="147" t="s">
        <v>48</v>
      </c>
      <c r="H81" s="58">
        <f xml:space="preserve"> SUM(J81:O81)</f>
        <v>392357</v>
      </c>
      <c r="J81" s="147">
        <v>6275</v>
      </c>
      <c r="K81" s="147">
        <v>14172</v>
      </c>
      <c r="L81" s="147">
        <v>216374</v>
      </c>
      <c r="M81" s="147">
        <v>12888</v>
      </c>
      <c r="N81" s="148">
        <v>35027</v>
      </c>
      <c r="O81" s="148">
        <v>107621</v>
      </c>
      <c r="P81" s="148"/>
      <c r="Q81" s="148"/>
      <c r="R81" s="148"/>
      <c r="S81" s="148"/>
      <c r="T81" s="148"/>
      <c r="U81" s="148"/>
      <c r="V81" s="148"/>
      <c r="W81" s="148"/>
    </row>
    <row r="82" spans="1:23" ht="15">
      <c r="A82" s="142"/>
      <c r="B82" s="143"/>
      <c r="C82" s="143"/>
      <c r="D82" s="144"/>
      <c r="E82" s="149" t="s">
        <v>228</v>
      </c>
      <c r="F82" s="150"/>
      <c r="G82" s="150" t="s">
        <v>48</v>
      </c>
      <c r="H82" s="58">
        <f xml:space="preserve"> SUM(J82:W82)</f>
        <v>-10311365</v>
      </c>
      <c r="J82" s="150">
        <f t="shared" ref="J82:W82" si="24">SUM(J80:J81)</f>
        <v>-937343</v>
      </c>
      <c r="K82" s="150">
        <f t="shared" si="24"/>
        <v>-1161772</v>
      </c>
      <c r="L82" s="150">
        <f t="shared" si="24"/>
        <v>-551759</v>
      </c>
      <c r="M82" s="150">
        <f t="shared" si="24"/>
        <v>-993273</v>
      </c>
      <c r="N82" s="150">
        <f t="shared" si="24"/>
        <v>-1200048</v>
      </c>
      <c r="O82" s="150">
        <f t="shared" si="24"/>
        <v>-967170</v>
      </c>
      <c r="P82" s="150">
        <f t="shared" si="24"/>
        <v>-1000000</v>
      </c>
      <c r="Q82" s="150">
        <f t="shared" si="24"/>
        <v>-500000</v>
      </c>
      <c r="R82" s="150">
        <f t="shared" si="24"/>
        <v>-500000</v>
      </c>
      <c r="S82" s="150">
        <f t="shared" si="24"/>
        <v>-2500000</v>
      </c>
      <c r="T82" s="150">
        <f t="shared" si="24"/>
        <v>0</v>
      </c>
      <c r="U82" s="150">
        <f t="shared" si="24"/>
        <v>0</v>
      </c>
      <c r="V82" s="150">
        <f t="shared" si="24"/>
        <v>0</v>
      </c>
      <c r="W82" s="150">
        <f t="shared" si="24"/>
        <v>0</v>
      </c>
    </row>
    <row r="83" spans="1:23" ht="15">
      <c r="A83" s="142"/>
      <c r="B83" s="143"/>
      <c r="C83" s="143"/>
      <c r="D83" s="144"/>
      <c r="E83" s="270"/>
      <c r="F83" s="147"/>
      <c r="G83" s="147"/>
      <c r="J83" s="147"/>
      <c r="K83" s="147"/>
      <c r="L83" s="147"/>
      <c r="M83" s="147"/>
      <c r="N83" s="148"/>
      <c r="O83" s="148"/>
      <c r="P83" s="148"/>
      <c r="Q83" s="148"/>
      <c r="R83" s="148"/>
      <c r="S83" s="148"/>
      <c r="T83" s="148"/>
      <c r="U83" s="148"/>
      <c r="V83" s="148"/>
      <c r="W83" s="148"/>
    </row>
    <row r="84" spans="1:23" ht="15">
      <c r="A84" s="142"/>
      <c r="B84" s="143"/>
      <c r="C84" s="143" t="s">
        <v>60</v>
      </c>
      <c r="D84" s="144"/>
      <c r="E84" s="146"/>
      <c r="F84" s="147"/>
      <c r="G84" s="147"/>
      <c r="J84" s="147"/>
      <c r="K84" s="147"/>
      <c r="L84" s="147"/>
      <c r="M84" s="147"/>
      <c r="N84" s="147"/>
      <c r="O84" s="147"/>
      <c r="P84" s="148"/>
      <c r="Q84" s="148"/>
      <c r="R84" s="148"/>
      <c r="S84" s="148"/>
      <c r="T84" s="148"/>
      <c r="U84" s="148"/>
      <c r="V84" s="148"/>
      <c r="W84" s="148"/>
    </row>
    <row r="85" spans="1:23" ht="15">
      <c r="A85" s="142"/>
      <c r="B85" s="143"/>
      <c r="C85" s="143"/>
      <c r="D85" s="144"/>
      <c r="E85" s="145" t="s">
        <v>229</v>
      </c>
      <c r="F85" s="147"/>
      <c r="G85" s="147" t="s">
        <v>48</v>
      </c>
      <c r="H85" s="58">
        <f xml:space="preserve"> SUM(J85:W85)</f>
        <v>-59118950.294148862</v>
      </c>
      <c r="J85" s="147">
        <v>-1500000</v>
      </c>
      <c r="K85" s="147">
        <v>-1700000</v>
      </c>
      <c r="L85" s="147">
        <v>-1325000</v>
      </c>
      <c r="M85" s="147">
        <v>-1800000</v>
      </c>
      <c r="N85" s="148">
        <v>-3050000</v>
      </c>
      <c r="O85" s="148">
        <v>-3250000</v>
      </c>
      <c r="P85" s="181">
        <f xml:space="preserve"> Equity!P$53</f>
        <v>-7522679.671200173</v>
      </c>
      <c r="Q85" s="181">
        <f xml:space="preserve"> Equity!Q$53</f>
        <v>-5361013.4416931607</v>
      </c>
      <c r="R85" s="181">
        <f xml:space="preserve"> Equity!R$53</f>
        <v>-6389050.2243667608</v>
      </c>
      <c r="S85" s="181">
        <f xml:space="preserve"> Equity!S$53</f>
        <v>-7576747.2656199262</v>
      </c>
      <c r="T85" s="181">
        <f xml:space="preserve"> Equity!T$53</f>
        <v>-8921052.1218852978</v>
      </c>
      <c r="U85" s="181">
        <f xml:space="preserve"> Equity!U$53</f>
        <v>-10723407.569383547</v>
      </c>
      <c r="V85" s="181">
        <f xml:space="preserve"> Equity!V$53</f>
        <v>0</v>
      </c>
      <c r="W85" s="181">
        <f xml:space="preserve"> Equity!W$53</f>
        <v>0</v>
      </c>
    </row>
    <row r="86" spans="1:23" ht="15">
      <c r="A86" s="142"/>
      <c r="B86" s="143"/>
      <c r="C86" s="143"/>
      <c r="D86" s="144"/>
      <c r="E86" s="145" t="str">
        <f xml:space="preserve"> E$22</f>
        <v>Net Finance costs</v>
      </c>
      <c r="F86" s="147">
        <f t="shared" ref="F86:W86" si="25" xml:space="preserve"> F$22</f>
        <v>0</v>
      </c>
      <c r="G86" s="147" t="str">
        <f t="shared" si="25"/>
        <v>Kes '000'</v>
      </c>
      <c r="H86" s="58">
        <f xml:space="preserve"> SUM(J86:W86)</f>
        <v>-2899391</v>
      </c>
      <c r="I86" s="58">
        <f t="shared" si="25"/>
        <v>0</v>
      </c>
      <c r="J86" s="147">
        <v>-105617</v>
      </c>
      <c r="K86" s="147">
        <v>-165777</v>
      </c>
      <c r="L86" s="147">
        <v>-169899</v>
      </c>
      <c r="M86" s="147">
        <v>-172675</v>
      </c>
      <c r="N86" s="148">
        <v>-305137</v>
      </c>
      <c r="O86" s="148">
        <v>-262276</v>
      </c>
      <c r="P86" s="148">
        <f xml:space="preserve"> P$22</f>
        <v>-155340</v>
      </c>
      <c r="Q86" s="148">
        <f t="shared" si="25"/>
        <v>-227670</v>
      </c>
      <c r="R86" s="148">
        <f t="shared" si="25"/>
        <v>-225000</v>
      </c>
      <c r="S86" s="148">
        <f t="shared" si="25"/>
        <v>-300000</v>
      </c>
      <c r="T86" s="148">
        <f t="shared" si="25"/>
        <v>-450000</v>
      </c>
      <c r="U86" s="148">
        <f t="shared" si="25"/>
        <v>-360000</v>
      </c>
      <c r="V86" s="148">
        <f t="shared" si="25"/>
        <v>0</v>
      </c>
      <c r="W86" s="148">
        <f t="shared" si="25"/>
        <v>0</v>
      </c>
    </row>
    <row r="87" spans="1:23" ht="15">
      <c r="A87" s="142"/>
      <c r="B87" s="143"/>
      <c r="C87" s="143"/>
      <c r="D87" s="144"/>
      <c r="E87" s="145" t="s">
        <v>230</v>
      </c>
      <c r="F87" s="147"/>
      <c r="G87" s="147" t="s">
        <v>48</v>
      </c>
      <c r="H87" s="58">
        <f xml:space="preserve"> SUM(J87:O87)</f>
        <v>430572</v>
      </c>
      <c r="J87" s="146">
        <v>0</v>
      </c>
      <c r="K87" s="147">
        <v>598800</v>
      </c>
      <c r="L87" s="147">
        <v>369600</v>
      </c>
      <c r="M87" s="147">
        <v>-891293</v>
      </c>
      <c r="N87" s="148">
        <v>-762342</v>
      </c>
      <c r="O87" s="148">
        <v>1115807</v>
      </c>
      <c r="P87" s="181">
        <f xml:space="preserve"> FinCosts!P$68</f>
        <v>482200</v>
      </c>
      <c r="Q87" s="181">
        <f xml:space="preserve"> FinCosts!Q$68</f>
        <v>-17800</v>
      </c>
      <c r="R87" s="181">
        <f xml:space="preserve"> FinCosts!R$68</f>
        <v>500000</v>
      </c>
      <c r="S87" s="181">
        <f xml:space="preserve"> FinCosts!S$68</f>
        <v>1000000</v>
      </c>
      <c r="T87" s="181">
        <f xml:space="preserve"> FinCosts!T$68</f>
        <v>-600000</v>
      </c>
      <c r="U87" s="181">
        <f xml:space="preserve"> FinCosts!U$68</f>
        <v>-600000</v>
      </c>
      <c r="V87" s="181">
        <f xml:space="preserve"> FinCosts!V$68</f>
        <v>0</v>
      </c>
      <c r="W87" s="181">
        <f xml:space="preserve"> FinCosts!W$68</f>
        <v>0</v>
      </c>
    </row>
    <row r="88" spans="1:23" ht="15">
      <c r="A88" s="142"/>
      <c r="B88" s="143"/>
      <c r="C88" s="143"/>
      <c r="D88" s="144"/>
      <c r="E88" s="149" t="s">
        <v>231</v>
      </c>
      <c r="F88" s="150"/>
      <c r="G88" s="150" t="s">
        <v>48</v>
      </c>
      <c r="H88" s="58">
        <f xml:space="preserve"> SUM(J88:W88)</f>
        <v>-60823369.294148862</v>
      </c>
      <c r="J88" s="150">
        <f>SUM(J85:J87)</f>
        <v>-1605617</v>
      </c>
      <c r="K88" s="150">
        <f t="shared" ref="K88:W88" si="26">SUM(K85:K87)</f>
        <v>-1266977</v>
      </c>
      <c r="L88" s="150">
        <f t="shared" si="26"/>
        <v>-1125299</v>
      </c>
      <c r="M88" s="150">
        <f t="shared" si="26"/>
        <v>-2863968</v>
      </c>
      <c r="N88" s="150">
        <f t="shared" si="26"/>
        <v>-4117479</v>
      </c>
      <c r="O88" s="150">
        <f t="shared" si="26"/>
        <v>-2396469</v>
      </c>
      <c r="P88" s="150">
        <f t="shared" si="26"/>
        <v>-7195819.671200173</v>
      </c>
      <c r="Q88" s="150">
        <f t="shared" si="26"/>
        <v>-5606483.4416931607</v>
      </c>
      <c r="R88" s="150">
        <f t="shared" si="26"/>
        <v>-6114050.2243667608</v>
      </c>
      <c r="S88" s="150">
        <f t="shared" si="26"/>
        <v>-6876747.2656199262</v>
      </c>
      <c r="T88" s="150">
        <f t="shared" si="26"/>
        <v>-9971052.1218852978</v>
      </c>
      <c r="U88" s="150">
        <f t="shared" si="26"/>
        <v>-11683407.569383547</v>
      </c>
      <c r="V88" s="150">
        <f t="shared" si="26"/>
        <v>0</v>
      </c>
      <c r="W88" s="150">
        <f t="shared" si="26"/>
        <v>0</v>
      </c>
    </row>
    <row r="89" spans="1:23" ht="15">
      <c r="A89" s="142"/>
      <c r="B89" s="143"/>
      <c r="C89" s="143"/>
      <c r="D89" s="144"/>
      <c r="E89" s="145" t="s">
        <v>67</v>
      </c>
      <c r="F89" s="147"/>
      <c r="G89" s="147"/>
      <c r="J89" s="147"/>
      <c r="K89" s="147"/>
      <c r="L89" s="147"/>
      <c r="M89" s="147"/>
      <c r="N89" s="148"/>
      <c r="O89" s="148"/>
      <c r="P89" s="148"/>
      <c r="Q89" s="148"/>
      <c r="R89" s="148"/>
      <c r="S89" s="148"/>
      <c r="T89" s="148"/>
      <c r="U89" s="148"/>
      <c r="V89" s="148"/>
      <c r="W89" s="148"/>
    </row>
    <row r="90" spans="1:23" ht="15.75" thickBot="1">
      <c r="A90" s="142"/>
      <c r="B90" s="143"/>
      <c r="C90" s="143"/>
      <c r="D90" s="144"/>
      <c r="E90" s="160" t="s">
        <v>232</v>
      </c>
      <c r="F90" s="161"/>
      <c r="G90" s="161" t="s">
        <v>48</v>
      </c>
      <c r="H90" s="161">
        <f xml:space="preserve"> SUM(J90:W90)</f>
        <v>4021105.2993123224</v>
      </c>
      <c r="J90" s="161">
        <f t="shared" ref="J90:W90" si="27" xml:space="preserve"> J88 + J82 + J77</f>
        <v>-50456</v>
      </c>
      <c r="K90" s="161">
        <f t="shared" si="27"/>
        <v>-685313</v>
      </c>
      <c r="L90" s="161">
        <f t="shared" si="27"/>
        <v>706208</v>
      </c>
      <c r="M90" s="161">
        <f t="shared" si="27"/>
        <v>1113614</v>
      </c>
      <c r="N90" s="161">
        <f t="shared" si="27"/>
        <v>-543729</v>
      </c>
      <c r="O90" s="161">
        <f t="shared" si="27"/>
        <v>137377</v>
      </c>
      <c r="P90" s="161">
        <f t="shared" si="27"/>
        <v>-1753899.8725147173</v>
      </c>
      <c r="Q90" s="161">
        <f t="shared" si="27"/>
        <v>779609.23394732177</v>
      </c>
      <c r="R90" s="161">
        <f t="shared" si="27"/>
        <v>1464183.8976896638</v>
      </c>
      <c r="S90" s="161">
        <f t="shared" si="27"/>
        <v>131184.72879546508</v>
      </c>
      <c r="T90" s="161">
        <f t="shared" si="27"/>
        <v>1258034.2965196799</v>
      </c>
      <c r="U90" s="161">
        <f t="shared" si="27"/>
        <v>1464292.0148749091</v>
      </c>
      <c r="V90" s="161">
        <f t="shared" si="27"/>
        <v>0</v>
      </c>
      <c r="W90" s="161">
        <f t="shared" si="27"/>
        <v>0</v>
      </c>
    </row>
    <row r="91" spans="1:23" customFormat="1" ht="13.5" thickTop="1"/>
    <row r="92" spans="1:23" ht="15">
      <c r="A92" s="142"/>
      <c r="B92" s="143"/>
      <c r="C92" s="143" t="s">
        <v>61</v>
      </c>
      <c r="D92" s="144"/>
      <c r="E92" s="146"/>
      <c r="F92" s="147"/>
      <c r="G92" s="147"/>
      <c r="J92" s="201"/>
      <c r="K92" s="201"/>
      <c r="L92" s="201"/>
      <c r="M92" s="201"/>
      <c r="N92" s="202"/>
      <c r="O92" s="202"/>
      <c r="P92" s="148"/>
      <c r="Q92" s="148"/>
      <c r="R92" s="148"/>
      <c r="S92" s="148"/>
      <c r="T92" s="148"/>
      <c r="U92" s="148"/>
      <c r="V92" s="148"/>
      <c r="W92" s="148"/>
    </row>
    <row r="93" spans="1:23" ht="15">
      <c r="A93" s="142"/>
      <c r="B93" s="143"/>
      <c r="C93" s="143"/>
      <c r="D93" s="144"/>
      <c r="E93" s="145" t="s">
        <v>233</v>
      </c>
      <c r="F93" s="147"/>
      <c r="G93" s="147" t="s">
        <v>48</v>
      </c>
      <c r="J93" s="147">
        <v>-386030</v>
      </c>
      <c r="K93" s="147">
        <v>-436476</v>
      </c>
      <c r="L93" s="147">
        <v>-1121627</v>
      </c>
      <c r="M93" s="147">
        <v>-415174</v>
      </c>
      <c r="N93" s="147">
        <v>699074</v>
      </c>
      <c r="O93" s="147">
        <v>156132</v>
      </c>
      <c r="P93" s="148">
        <f>O97</f>
        <v>-293509</v>
      </c>
      <c r="Q93" s="148">
        <f t="shared" ref="Q93:W93" si="28">P97</f>
        <v>-2047408.8725147173</v>
      </c>
      <c r="R93" s="148">
        <f t="shared" si="28"/>
        <v>-1267799.6385673955</v>
      </c>
      <c r="S93" s="148">
        <f t="shared" si="28"/>
        <v>196384.2591222683</v>
      </c>
      <c r="T93" s="148">
        <f t="shared" si="28"/>
        <v>327568.98791773338</v>
      </c>
      <c r="U93" s="148">
        <f t="shared" si="28"/>
        <v>1585603.2844374133</v>
      </c>
      <c r="V93" s="148">
        <f t="shared" si="28"/>
        <v>3049895.2993123224</v>
      </c>
      <c r="W93" s="148">
        <f t="shared" si="28"/>
        <v>3049895.2993123224</v>
      </c>
    </row>
    <row r="94" spans="1:23" ht="15">
      <c r="A94" s="142"/>
      <c r="B94" s="143"/>
      <c r="C94" s="143"/>
      <c r="D94" s="144"/>
      <c r="E94" s="177" t="s">
        <v>234</v>
      </c>
      <c r="F94" s="147"/>
      <c r="G94" s="147" t="s">
        <v>48</v>
      </c>
      <c r="H94" s="58">
        <f xml:space="preserve"> SUM(J94:W94)</f>
        <v>4021105.2993123224</v>
      </c>
      <c r="J94" s="147">
        <f>J90</f>
        <v>-50456</v>
      </c>
      <c r="K94" s="147">
        <f t="shared" ref="K94:O94" si="29">K90</f>
        <v>-685313</v>
      </c>
      <c r="L94" s="147">
        <f t="shared" si="29"/>
        <v>706208</v>
      </c>
      <c r="M94" s="147">
        <f t="shared" si="29"/>
        <v>1113614</v>
      </c>
      <c r="N94" s="147">
        <f t="shared" si="29"/>
        <v>-543729</v>
      </c>
      <c r="O94" s="147">
        <f t="shared" si="29"/>
        <v>137377</v>
      </c>
      <c r="P94" s="147">
        <f>P90</f>
        <v>-1753899.8725147173</v>
      </c>
      <c r="Q94" s="147">
        <f t="shared" ref="Q94:W94" si="30">Q90</f>
        <v>779609.23394732177</v>
      </c>
      <c r="R94" s="147">
        <f t="shared" si="30"/>
        <v>1464183.8976896638</v>
      </c>
      <c r="S94" s="147">
        <f t="shared" si="30"/>
        <v>131184.72879546508</v>
      </c>
      <c r="T94" s="147">
        <f t="shared" si="30"/>
        <v>1258034.2965196799</v>
      </c>
      <c r="U94" s="147">
        <f t="shared" si="30"/>
        <v>1464292.0148749091</v>
      </c>
      <c r="V94" s="147">
        <f t="shared" si="30"/>
        <v>0</v>
      </c>
      <c r="W94" s="147">
        <f t="shared" si="30"/>
        <v>0</v>
      </c>
    </row>
    <row r="95" spans="1:23" ht="15">
      <c r="A95" s="142"/>
      <c r="B95" s="143"/>
      <c r="C95" s="143"/>
      <c r="D95" s="144"/>
      <c r="E95" s="163" t="s">
        <v>208</v>
      </c>
      <c r="F95" s="164"/>
      <c r="G95" s="164" t="s">
        <v>48</v>
      </c>
      <c r="H95" s="58">
        <f xml:space="preserve"> SUM(J95:W95)</f>
        <v>10232470.918332269</v>
      </c>
      <c r="J95" s="164">
        <v>802858</v>
      </c>
      <c r="K95" s="164">
        <v>251575</v>
      </c>
      <c r="L95" s="164">
        <v>120865</v>
      </c>
      <c r="M95" s="164">
        <v>720680</v>
      </c>
      <c r="N95" s="178">
        <v>194314</v>
      </c>
      <c r="O95" s="212">
        <v>198145</v>
      </c>
      <c r="P95" s="178">
        <f>SUM(P93:P94)</f>
        <v>-2047408.8725147173</v>
      </c>
      <c r="Q95" s="178">
        <f t="shared" ref="Q95:W95" si="31">SUM(Q93:Q94)</f>
        <v>-1267799.6385673955</v>
      </c>
      <c r="R95" s="178">
        <f t="shared" si="31"/>
        <v>196384.2591222683</v>
      </c>
      <c r="S95" s="178">
        <f t="shared" si="31"/>
        <v>327568.98791773338</v>
      </c>
      <c r="T95" s="178">
        <f t="shared" si="31"/>
        <v>1585603.2844374133</v>
      </c>
      <c r="U95" s="178">
        <f t="shared" si="31"/>
        <v>3049895.2993123224</v>
      </c>
      <c r="V95" s="178">
        <f t="shared" si="31"/>
        <v>3049895.2993123224</v>
      </c>
      <c r="W95" s="178">
        <f t="shared" si="31"/>
        <v>3049895.2993123224</v>
      </c>
    </row>
    <row r="96" spans="1:23" ht="15">
      <c r="A96" s="142"/>
      <c r="B96" s="143"/>
      <c r="C96" s="143"/>
      <c r="D96" s="144"/>
      <c r="E96" s="145" t="s">
        <v>235</v>
      </c>
      <c r="F96" s="147"/>
      <c r="G96" s="147" t="s">
        <v>48</v>
      </c>
      <c r="H96" s="58">
        <f xml:space="preserve"> SUM(J96:O96)</f>
        <v>-3700017</v>
      </c>
      <c r="J96" s="147">
        <v>-1239334</v>
      </c>
      <c r="K96" s="147">
        <v>-1373202</v>
      </c>
      <c r="L96" s="147">
        <v>-536039</v>
      </c>
      <c r="M96" s="147">
        <v>-21606</v>
      </c>
      <c r="N96" s="148">
        <v>-38182</v>
      </c>
      <c r="O96" s="7">
        <v>-491654</v>
      </c>
      <c r="P96" s="148"/>
      <c r="Q96" s="148"/>
      <c r="R96" s="148"/>
      <c r="S96" s="148"/>
      <c r="T96" s="148"/>
      <c r="U96" s="148"/>
      <c r="V96" s="148"/>
      <c r="W96" s="148"/>
    </row>
    <row r="97" spans="1:23" ht="15">
      <c r="A97" s="142"/>
      <c r="B97" s="158"/>
      <c r="C97" s="159"/>
      <c r="D97" s="142"/>
      <c r="E97" s="149" t="s">
        <v>236</v>
      </c>
      <c r="F97" s="179"/>
      <c r="G97" s="179" t="s">
        <v>48</v>
      </c>
      <c r="H97" s="10"/>
      <c r="J97" s="278">
        <f t="shared" ref="J97:W97" si="32">SUM(J95:J96)</f>
        <v>-436476</v>
      </c>
      <c r="K97" s="278">
        <f t="shared" si="32"/>
        <v>-1121627</v>
      </c>
      <c r="L97" s="278">
        <f t="shared" si="32"/>
        <v>-415174</v>
      </c>
      <c r="M97" s="278">
        <f t="shared" si="32"/>
        <v>699074</v>
      </c>
      <c r="N97" s="278">
        <f t="shared" si="32"/>
        <v>156132</v>
      </c>
      <c r="O97" s="278">
        <f t="shared" si="32"/>
        <v>-293509</v>
      </c>
      <c r="P97" s="278">
        <f>SUM(P95:P96)</f>
        <v>-2047408.8725147173</v>
      </c>
      <c r="Q97" s="278">
        <f t="shared" si="32"/>
        <v>-1267799.6385673955</v>
      </c>
      <c r="R97" s="278">
        <f t="shared" si="32"/>
        <v>196384.2591222683</v>
      </c>
      <c r="S97" s="278">
        <f t="shared" si="32"/>
        <v>327568.98791773338</v>
      </c>
      <c r="T97" s="278">
        <f t="shared" si="32"/>
        <v>1585603.2844374133</v>
      </c>
      <c r="U97" s="278">
        <f>SUM(U95:U96)</f>
        <v>3049895.2993123224</v>
      </c>
      <c r="V97" s="278">
        <f t="shared" si="32"/>
        <v>3049895.2993123224</v>
      </c>
      <c r="W97" s="278">
        <f t="shared" si="32"/>
        <v>3049895.2993123224</v>
      </c>
    </row>
    <row r="98" spans="1:23" ht="15">
      <c r="A98" s="142"/>
      <c r="B98" s="158"/>
      <c r="C98" s="159"/>
      <c r="D98" s="142"/>
      <c r="E98" s="146"/>
      <c r="F98" s="146"/>
      <c r="G98" s="146"/>
    </row>
  </sheetData>
  <conditionalFormatting sqref="F2">
    <cfRule type="cellIs" dxfId="45" priority="1" stopIfTrue="1" operator="notEqual">
      <formula>0</formula>
    </cfRule>
    <cfRule type="cellIs" dxfId="44" priority="2" stopIfTrue="1" operator="equal">
      <formula>""</formula>
    </cfRule>
  </conditionalFormatting>
  <conditionalFormatting sqref="F69 J69:W69">
    <cfRule type="cellIs" dxfId="43" priority="3" stopIfTrue="1" operator="notEqual">
      <formula>0</formula>
    </cfRule>
    <cfRule type="cellIs" dxfId="42" priority="4" stopIfTrue="1" operator="equal">
      <formula>""</formula>
    </cfRule>
  </conditionalFormatting>
  <conditionalFormatting sqref="J3:BY3">
    <cfRule type="cellIs" dxfId="41" priority="5" stopIfTrue="1" operator="equal">
      <formula>"Pre-forecast"</formula>
    </cfRule>
    <cfRule type="cellIs" dxfId="40"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0" tint="-0.14999847407452621"/>
    <outlinePr summaryBelow="0" summaryRight="0"/>
  </sheetPr>
  <dimension ref="A1:BY65"/>
  <sheetViews>
    <sheetView defaultGridColor="0" colorId="22" zoomScaleNormal="100" workbookViewId="0">
      <pane xSplit="9" ySplit="5" topLeftCell="J51" activePane="bottomRight" state="frozen"/>
      <selection activeCell="F2" sqref="F2"/>
      <selection pane="topRight" activeCell="F2" sqref="F2"/>
      <selection pane="bottomLeft" activeCell="F2" sqref="F2"/>
      <selection pane="bottomRight" activeCell="E41" sqref="E41"/>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2.5703125" style="58" bestFit="1" customWidth="1"/>
    <col min="6" max="6" width="12.7109375" style="58" customWidth="1"/>
    <col min="7" max="7" width="11.7109375" style="58" customWidth="1"/>
    <col min="8" max="8" width="12.7109375" style="58" bestFit="1" customWidth="1"/>
    <col min="9" max="9" width="2.7109375" style="58" customWidth="1"/>
    <col min="10" max="12" width="11.7109375" style="58" customWidth="1"/>
    <col min="13" max="15" width="12.7109375" style="58" bestFit="1" customWidth="1"/>
    <col min="16" max="16" width="17.28515625" style="58" bestFit="1" customWidth="1"/>
    <col min="17"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OpRev</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t="s">
        <v>175</v>
      </c>
      <c r="B7" s="131"/>
      <c r="C7" s="132"/>
      <c r="D7" s="133"/>
    </row>
    <row r="8" spans="1:77" s="134" customFormat="1">
      <c r="A8" s="130"/>
      <c r="B8" s="131"/>
      <c r="C8" s="132"/>
      <c r="D8" s="133"/>
    </row>
    <row r="9" spans="1:77">
      <c r="B9" s="4" t="s">
        <v>176</v>
      </c>
    </row>
    <row r="11" spans="1:77">
      <c r="C11" s="16" t="s">
        <v>177</v>
      </c>
    </row>
    <row r="13" spans="1:77">
      <c r="E13" s="282" t="str">
        <f xml:space="preserve"> 'FinStat Act'!E$9</f>
        <v>Local sales  Actuals</v>
      </c>
      <c r="F13" s="282">
        <f xml:space="preserve"> 'FinStat Act'!F$9</f>
        <v>0</v>
      </c>
      <c r="G13" s="282" t="str">
        <f xml:space="preserve"> 'FinStat Act'!G$9</f>
        <v>Kes '000'</v>
      </c>
      <c r="H13" s="282">
        <f xml:space="preserve"> 'FinStat Act'!H$9</f>
        <v>49503634</v>
      </c>
      <c r="I13" s="282"/>
      <c r="J13" s="282">
        <f xml:space="preserve"> 'FinStat Act'!J$9</f>
        <v>6050517</v>
      </c>
      <c r="K13" s="282">
        <f xml:space="preserve"> 'FinStat Act'!K$9</f>
        <v>6595964</v>
      </c>
      <c r="L13" s="282">
        <f xml:space="preserve"> 'FinStat Act'!L$9</f>
        <v>7567850</v>
      </c>
      <c r="M13" s="282">
        <f xml:space="preserve"> 'FinStat Act'!M$9</f>
        <v>8744643</v>
      </c>
      <c r="N13" s="282">
        <f xml:space="preserve"> 'FinStat Act'!N$9</f>
        <v>9630357</v>
      </c>
      <c r="O13" s="282">
        <f xml:space="preserve"> 'FinStat Act'!O$9</f>
        <v>10914303</v>
      </c>
      <c r="P13" s="282">
        <f xml:space="preserve"> 'FinStat Act'!P$9</f>
        <v>0</v>
      </c>
      <c r="Q13" s="282">
        <f xml:space="preserve"> 'FinStat Act'!Q$9</f>
        <v>0</v>
      </c>
      <c r="R13" s="282">
        <f xml:space="preserve"> 'FinStat Act'!R$9</f>
        <v>0</v>
      </c>
      <c r="S13" s="282">
        <f xml:space="preserve"> 'FinStat Act'!S$9</f>
        <v>0</v>
      </c>
      <c r="T13" s="282">
        <f xml:space="preserve"> 'FinStat Act'!T$9</f>
        <v>0</v>
      </c>
      <c r="U13" s="282">
        <f xml:space="preserve"> 'FinStat Act'!U$9</f>
        <v>0</v>
      </c>
      <c r="V13" s="282">
        <f xml:space="preserve"> 'FinStat Act'!V$9</f>
        <v>0</v>
      </c>
      <c r="W13" s="282">
        <f xml:space="preserve"> 'FinStat Act'!W$9</f>
        <v>0</v>
      </c>
    </row>
    <row r="14" spans="1:77">
      <c r="E14" s="58" t="s">
        <v>178</v>
      </c>
      <c r="F14" s="2">
        <f>AVERAGE(J14:W14)</f>
        <v>0.125520524140082</v>
      </c>
      <c r="G14" s="1" t="s">
        <v>179</v>
      </c>
      <c r="J14" s="2" t="str">
        <f>IF(AND(J13&lt;&gt;0,I13&lt;&gt;0),(J13/I13)-1,"N/A")</f>
        <v>N/A</v>
      </c>
      <c r="K14" s="2">
        <f t="shared" ref="K14:W14" si="0">IF(AND(K13&lt;&gt;0,J13&lt;&gt;0),(K13/J13)-1,"N/A")</f>
        <v>9.0148825298730584E-2</v>
      </c>
      <c r="L14" s="2">
        <f t="shared" si="0"/>
        <v>0.14734555858703891</v>
      </c>
      <c r="M14" s="2">
        <f t="shared" si="0"/>
        <v>0.1554989858414213</v>
      </c>
      <c r="N14" s="2">
        <f t="shared" si="0"/>
        <v>0.10128646761222848</v>
      </c>
      <c r="O14" s="2">
        <f t="shared" si="0"/>
        <v>0.13332278336099068</v>
      </c>
      <c r="P14" s="2" t="str">
        <f t="shared" si="0"/>
        <v>N/A</v>
      </c>
      <c r="Q14" s="2" t="str">
        <f t="shared" si="0"/>
        <v>N/A</v>
      </c>
      <c r="R14" s="2" t="str">
        <f t="shared" si="0"/>
        <v>N/A</v>
      </c>
      <c r="S14" s="2" t="str">
        <f t="shared" si="0"/>
        <v>N/A</v>
      </c>
      <c r="T14" s="2" t="str">
        <f t="shared" si="0"/>
        <v>N/A</v>
      </c>
      <c r="U14" s="2" t="str">
        <f t="shared" si="0"/>
        <v>N/A</v>
      </c>
      <c r="V14" s="2" t="str">
        <f t="shared" si="0"/>
        <v>N/A</v>
      </c>
      <c r="W14" s="2" t="str">
        <f t="shared" si="0"/>
        <v>N/A</v>
      </c>
    </row>
    <row r="16" spans="1:77">
      <c r="E16" s="282" t="str">
        <f xml:space="preserve"> InpS!E$13</f>
        <v>Forecast Local Sales Growth Rate-Best Case</v>
      </c>
      <c r="F16" s="282">
        <f xml:space="preserve"> InpS!F$13</f>
        <v>2</v>
      </c>
      <c r="G16" s="282">
        <f xml:space="preserve"> InpS!G$13</f>
        <v>0</v>
      </c>
      <c r="H16" s="282">
        <f xml:space="preserve"> InpS!H$13</f>
        <v>0</v>
      </c>
      <c r="I16" s="282"/>
      <c r="J16" s="282">
        <f xml:space="preserve"> InpS!J$13</f>
        <v>0</v>
      </c>
      <c r="K16" s="282">
        <f xml:space="preserve"> InpS!K$13</f>
        <v>0</v>
      </c>
      <c r="L16" s="282">
        <f xml:space="preserve"> InpS!L$13</f>
        <v>0</v>
      </c>
      <c r="M16" s="282">
        <f xml:space="preserve"> InpS!M$13</f>
        <v>0</v>
      </c>
      <c r="N16" s="282">
        <f xml:space="preserve"> InpS!N$13</f>
        <v>0</v>
      </c>
      <c r="O16" s="357">
        <f xml:space="preserve"> InpS!O$13</f>
        <v>0</v>
      </c>
      <c r="P16" s="357">
        <f xml:space="preserve"> InpS!P$13</f>
        <v>0.2</v>
      </c>
      <c r="Q16" s="357">
        <f xml:space="preserve"> InpS!Q$13</f>
        <v>0.2</v>
      </c>
      <c r="R16" s="357">
        <f xml:space="preserve"> InpS!R$13</f>
        <v>0.2</v>
      </c>
      <c r="S16" s="357">
        <f xml:space="preserve"> InpS!S$13</f>
        <v>0.2</v>
      </c>
      <c r="T16" s="357">
        <f xml:space="preserve"> InpS!T$13</f>
        <v>0.2</v>
      </c>
      <c r="U16" s="357">
        <f xml:space="preserve"> InpS!U$13</f>
        <v>0.2</v>
      </c>
      <c r="V16" s="282"/>
      <c r="W16" s="282"/>
    </row>
    <row r="17" spans="1:23">
      <c r="F17" s="2"/>
      <c r="J17" s="2"/>
      <c r="K17" s="2"/>
      <c r="L17" s="2"/>
      <c r="M17" s="2"/>
      <c r="N17" s="2"/>
      <c r="O17" s="2"/>
      <c r="P17" s="2"/>
      <c r="Q17" s="2"/>
      <c r="R17" s="2"/>
      <c r="S17" s="2"/>
      <c r="T17" s="2"/>
      <c r="U17" s="2"/>
      <c r="V17" s="2"/>
      <c r="W17" s="2"/>
    </row>
    <row r="18" spans="1:23">
      <c r="C18" s="16" t="s">
        <v>180</v>
      </c>
    </row>
    <row r="20" spans="1:23">
      <c r="E20" s="282" t="str">
        <f xml:space="preserve"> 'FinStat Act'!E$9</f>
        <v>Local sales  Actuals</v>
      </c>
      <c r="F20" s="282">
        <f xml:space="preserve"> 'FinStat Act'!F$9</f>
        <v>0</v>
      </c>
      <c r="G20" s="282" t="str">
        <f xml:space="preserve"> 'FinStat Act'!G$9</f>
        <v>Kes '000'</v>
      </c>
      <c r="H20" s="282">
        <f xml:space="preserve"> 'FinStat Act'!H$9</f>
        <v>49503634</v>
      </c>
      <c r="I20" s="282">
        <f xml:space="preserve"> 'FinStat Act'!I$9</f>
        <v>0</v>
      </c>
      <c r="J20" s="282">
        <f xml:space="preserve"> 'FinStat Act'!J$9</f>
        <v>6050517</v>
      </c>
      <c r="K20" s="282">
        <f xml:space="preserve"> 'FinStat Act'!K$9</f>
        <v>6595964</v>
      </c>
      <c r="L20" s="282">
        <f xml:space="preserve"> 'FinStat Act'!L$9</f>
        <v>7567850</v>
      </c>
      <c r="M20" s="282">
        <f xml:space="preserve"> 'FinStat Act'!M$9</f>
        <v>8744643</v>
      </c>
      <c r="N20" s="282">
        <f xml:space="preserve"> 'FinStat Act'!N$9</f>
        <v>9630357</v>
      </c>
      <c r="O20" s="282">
        <f xml:space="preserve"> 'FinStat Act'!O$9</f>
        <v>10914303</v>
      </c>
      <c r="P20" s="282">
        <f xml:space="preserve"> 'FinStat Act'!P$9</f>
        <v>0</v>
      </c>
      <c r="Q20" s="282">
        <f xml:space="preserve"> 'FinStat Act'!Q$9</f>
        <v>0</v>
      </c>
      <c r="R20" s="282">
        <f xml:space="preserve"> 'FinStat Act'!R$9</f>
        <v>0</v>
      </c>
      <c r="S20" s="282">
        <f xml:space="preserve"> 'FinStat Act'!S$9</f>
        <v>0</v>
      </c>
      <c r="T20" s="282">
        <f xml:space="preserve"> 'FinStat Act'!T$9</f>
        <v>0</v>
      </c>
      <c r="U20" s="282">
        <f xml:space="preserve"> 'FinStat Act'!U$9</f>
        <v>0</v>
      </c>
      <c r="V20" s="282">
        <f xml:space="preserve"> 'FinStat Act'!V$9</f>
        <v>0</v>
      </c>
      <c r="W20" s="282">
        <f xml:space="preserve"> 'FinStat Act'!W$9</f>
        <v>0</v>
      </c>
    </row>
    <row r="21" spans="1:23" s="2" customFormat="1">
      <c r="A21" s="284"/>
      <c r="B21" s="285"/>
      <c r="C21" s="286"/>
      <c r="D21" s="287"/>
      <c r="E21" s="288" t="str">
        <f xml:space="preserve"> E$16</f>
        <v>Forecast Local Sales Growth Rate-Best Case</v>
      </c>
      <c r="F21" s="288">
        <f xml:space="preserve"> F$16</f>
        <v>2</v>
      </c>
      <c r="G21" s="288">
        <f t="shared" ref="G21:W21" si="1" xml:space="preserve"> G$16</f>
        <v>0</v>
      </c>
      <c r="H21" s="288">
        <f t="shared" si="1"/>
        <v>0</v>
      </c>
      <c r="I21" s="288">
        <f t="shared" si="1"/>
        <v>0</v>
      </c>
      <c r="J21" s="288">
        <f t="shared" si="1"/>
        <v>0</v>
      </c>
      <c r="K21" s="288">
        <f t="shared" si="1"/>
        <v>0</v>
      </c>
      <c r="L21" s="288">
        <f t="shared" si="1"/>
        <v>0</v>
      </c>
      <c r="M21" s="288">
        <f t="shared" si="1"/>
        <v>0</v>
      </c>
      <c r="N21" s="288">
        <f t="shared" si="1"/>
        <v>0</v>
      </c>
      <c r="O21" s="288">
        <f t="shared" si="1"/>
        <v>0</v>
      </c>
      <c r="P21" s="288">
        <f t="shared" si="1"/>
        <v>0.2</v>
      </c>
      <c r="Q21" s="288">
        <f t="shared" si="1"/>
        <v>0.2</v>
      </c>
      <c r="R21" s="288">
        <f t="shared" si="1"/>
        <v>0.2</v>
      </c>
      <c r="S21" s="288">
        <f t="shared" si="1"/>
        <v>0.2</v>
      </c>
      <c r="T21" s="288">
        <f t="shared" si="1"/>
        <v>0.2</v>
      </c>
      <c r="U21" s="288">
        <f t="shared" si="1"/>
        <v>0.2</v>
      </c>
      <c r="V21" s="288">
        <f t="shared" si="1"/>
        <v>0</v>
      </c>
      <c r="W21" s="288">
        <f t="shared" si="1"/>
        <v>0</v>
      </c>
    </row>
    <row r="22" spans="1:23">
      <c r="E22" s="282" t="str">
        <f xml:space="preserve"> Time!E$43</f>
        <v>Forecast period flag</v>
      </c>
      <c r="F22" s="282">
        <f xml:space="preserve"> Time!F$43</f>
        <v>0</v>
      </c>
      <c r="G22" s="282" t="str">
        <f xml:space="preserve"> Time!G$43</f>
        <v>flag</v>
      </c>
      <c r="H22" s="282">
        <f xml:space="preserve"> Time!H$43</f>
        <v>6</v>
      </c>
      <c r="I22" s="282">
        <f xml:space="preserve"> Time!I$43</f>
        <v>0</v>
      </c>
      <c r="J22" s="282">
        <f xml:space="preserve"> Time!J$43</f>
        <v>0</v>
      </c>
      <c r="K22" s="282">
        <f xml:space="preserve"> Time!K$43</f>
        <v>0</v>
      </c>
      <c r="L22" s="282">
        <f xml:space="preserve"> Time!L$43</f>
        <v>0</v>
      </c>
      <c r="M22" s="282">
        <f xml:space="preserve"> Time!M$43</f>
        <v>0</v>
      </c>
      <c r="N22" s="282">
        <f xml:space="preserve"> Time!N$43</f>
        <v>0</v>
      </c>
      <c r="O22" s="282">
        <f xml:space="preserve"> Time!O$43</f>
        <v>0</v>
      </c>
      <c r="P22" s="282">
        <f xml:space="preserve"> Time!P$43</f>
        <v>1</v>
      </c>
      <c r="Q22" s="282">
        <f xml:space="preserve"> Time!Q$43</f>
        <v>1</v>
      </c>
      <c r="R22" s="282">
        <f xml:space="preserve"> Time!R$43</f>
        <v>1</v>
      </c>
      <c r="S22" s="282">
        <f xml:space="preserve"> Time!S$43</f>
        <v>1</v>
      </c>
      <c r="T22" s="282">
        <f xml:space="preserve"> Time!T$43</f>
        <v>1</v>
      </c>
      <c r="U22" s="282">
        <f xml:space="preserve"> Time!U$43</f>
        <v>1</v>
      </c>
      <c r="V22" s="282">
        <f xml:space="preserve"> Time!V$43</f>
        <v>0</v>
      </c>
      <c r="W22" s="282">
        <f xml:space="preserve"> Time!W$43</f>
        <v>0</v>
      </c>
    </row>
    <row r="23" spans="1:23">
      <c r="E23" s="282" t="str">
        <f xml:space="preserve"> Time!E$48</f>
        <v>First forecast period flag</v>
      </c>
      <c r="F23" s="282">
        <f xml:space="preserve"> Time!F$48</f>
        <v>0</v>
      </c>
      <c r="G23" s="282" t="str">
        <f xml:space="preserve"> Time!G$48</f>
        <v>flag</v>
      </c>
      <c r="H23" s="282">
        <f xml:space="preserve"> Time!H$48</f>
        <v>1</v>
      </c>
      <c r="I23" s="282">
        <f xml:space="preserve"> Time!I$48</f>
        <v>0</v>
      </c>
      <c r="J23" s="282">
        <f xml:space="preserve"> Time!J$48</f>
        <v>0</v>
      </c>
      <c r="K23" s="282">
        <f xml:space="preserve"> Time!K$48</f>
        <v>0</v>
      </c>
      <c r="L23" s="282">
        <f xml:space="preserve"> Time!L$48</f>
        <v>0</v>
      </c>
      <c r="M23" s="282">
        <f xml:space="preserve"> Time!M$48</f>
        <v>0</v>
      </c>
      <c r="N23" s="282">
        <f xml:space="preserve"> Time!N$48</f>
        <v>0</v>
      </c>
      <c r="O23" s="282">
        <f xml:space="preserve"> Time!O$48</f>
        <v>0</v>
      </c>
      <c r="P23" s="282">
        <f xml:space="preserve"> Time!P$48</f>
        <v>1</v>
      </c>
      <c r="Q23" s="282">
        <f xml:space="preserve"> Time!Q$48</f>
        <v>0</v>
      </c>
      <c r="R23" s="282">
        <f xml:space="preserve"> Time!R$48</f>
        <v>0</v>
      </c>
      <c r="S23" s="282">
        <f xml:space="preserve"> Time!S$48</f>
        <v>0</v>
      </c>
      <c r="T23" s="282">
        <f xml:space="preserve"> Time!T$48</f>
        <v>0</v>
      </c>
      <c r="U23" s="282">
        <f xml:space="preserve"> Time!U$48</f>
        <v>0</v>
      </c>
      <c r="V23" s="282">
        <f xml:space="preserve"> Time!V$48</f>
        <v>0</v>
      </c>
      <c r="W23" s="282">
        <f xml:space="preserve"> Time!W$48</f>
        <v>0</v>
      </c>
    </row>
    <row r="24" spans="1:23" s="191" customFormat="1">
      <c r="A24" s="188"/>
      <c r="B24" s="189"/>
      <c r="C24" s="291"/>
      <c r="D24" s="190"/>
      <c r="E24" s="191" t="s">
        <v>180</v>
      </c>
      <c r="G24" s="191" t="str">
        <f>smu</f>
        <v>Kes '000'</v>
      </c>
      <c r="H24" s="191">
        <f xml:space="preserve"> SUM(J24:W24)</f>
        <v>130053786.774912</v>
      </c>
      <c r="J24" s="292">
        <f t="shared" ref="J24:O24" si="2">IF(J23=1,I20*(1+J21),I24*(1+J21))*J22</f>
        <v>0</v>
      </c>
      <c r="K24" s="292">
        <f t="shared" si="2"/>
        <v>0</v>
      </c>
      <c r="L24" s="292">
        <f t="shared" si="2"/>
        <v>0</v>
      </c>
      <c r="M24" s="292">
        <f t="shared" si="2"/>
        <v>0</v>
      </c>
      <c r="N24" s="292">
        <f t="shared" si="2"/>
        <v>0</v>
      </c>
      <c r="O24" s="292">
        <f t="shared" si="2"/>
        <v>0</v>
      </c>
      <c r="P24" s="292">
        <f>IF(P23=1,O20*(1+P21),O24*(1+P21))*P22</f>
        <v>13097163.6</v>
      </c>
      <c r="Q24" s="292">
        <f>IF(Q23=1,P20*(1+Q21),P24*(1+Q21))*Q22</f>
        <v>15716596.319999998</v>
      </c>
      <c r="R24" s="292">
        <f t="shared" ref="R24:W24" si="3">IF(R23=1,Q20*(1+R21),Q24*(1+R21))*R22</f>
        <v>18859915.583999999</v>
      </c>
      <c r="S24" s="292">
        <f t="shared" si="3"/>
        <v>22631898.700799998</v>
      </c>
      <c r="T24" s="292">
        <f t="shared" si="3"/>
        <v>27158278.440959997</v>
      </c>
      <c r="U24" s="292">
        <f t="shared" si="3"/>
        <v>32589934.129151996</v>
      </c>
      <c r="V24" s="292">
        <f>IF(V23=1,U20*(1+V21),U24*(1+V21))*V22</f>
        <v>0</v>
      </c>
      <c r="W24" s="292">
        <f t="shared" si="3"/>
        <v>0</v>
      </c>
    </row>
    <row r="26" spans="1:23">
      <c r="C26" s="16" t="s">
        <v>181</v>
      </c>
    </row>
    <row r="28" spans="1:23">
      <c r="E28" s="282" t="str">
        <f xml:space="preserve"> 'FinStat Act'!E$10</f>
        <v>Exports Actuals</v>
      </c>
      <c r="F28" s="282">
        <f xml:space="preserve"> 'FinStat Act'!F$10</f>
        <v>0</v>
      </c>
      <c r="G28" s="282" t="str">
        <f xml:space="preserve"> 'FinStat Act'!G$10</f>
        <v>Kes '000'</v>
      </c>
      <c r="H28" s="282">
        <f xml:space="preserve"> 'FinStat Act'!H$10</f>
        <v>45044200</v>
      </c>
      <c r="I28" s="282">
        <f xml:space="preserve"> 'FinStat Act'!I$10</f>
        <v>0</v>
      </c>
      <c r="J28" s="282">
        <f xml:space="preserve"> 'FinStat Act'!J$10</f>
        <v>4232852</v>
      </c>
      <c r="K28" s="282">
        <f xml:space="preserve"> 'FinStat Act'!K$10</f>
        <v>4498432</v>
      </c>
      <c r="L28" s="282">
        <f xml:space="preserve"> 'FinStat Act'!L$10</f>
        <v>5971383</v>
      </c>
      <c r="M28" s="282">
        <f xml:space="preserve"> 'FinStat Act'!M$10</f>
        <v>11858477</v>
      </c>
      <c r="N28" s="282">
        <f xml:space="preserve"> 'FinStat Act'!N$10</f>
        <v>9778643</v>
      </c>
      <c r="O28" s="282">
        <f xml:space="preserve"> 'FinStat Act'!O$10</f>
        <v>8704413</v>
      </c>
      <c r="P28" s="282">
        <f xml:space="preserve"> 'FinStat Act'!P$10</f>
        <v>0</v>
      </c>
      <c r="Q28" s="282">
        <f xml:space="preserve"> 'FinStat Act'!Q$10</f>
        <v>0</v>
      </c>
      <c r="R28" s="282">
        <f xml:space="preserve"> 'FinStat Act'!R$10</f>
        <v>0</v>
      </c>
      <c r="S28" s="282">
        <f xml:space="preserve"> 'FinStat Act'!S$10</f>
        <v>0</v>
      </c>
      <c r="T28" s="282">
        <f xml:space="preserve"> 'FinStat Act'!T$10</f>
        <v>0</v>
      </c>
      <c r="U28" s="282">
        <f xml:space="preserve"> 'FinStat Act'!U$10</f>
        <v>0</v>
      </c>
      <c r="V28" s="282">
        <f xml:space="preserve"> 'FinStat Act'!V$10</f>
        <v>0</v>
      </c>
      <c r="W28" s="282">
        <f xml:space="preserve"> 'FinStat Act'!W$10</f>
        <v>0</v>
      </c>
    </row>
    <row r="29" spans="1:23">
      <c r="E29" s="58" t="s">
        <v>182</v>
      </c>
      <c r="F29" s="2">
        <f>AVERAGE(J29:W29)</f>
        <v>0.21816419019624403</v>
      </c>
      <c r="G29" s="1" t="s">
        <v>179</v>
      </c>
      <c r="J29" s="2" t="str">
        <f>IF(AND(J28&lt;&gt;0,I28&lt;&gt;0),(J28/I28)-1,"N/A")</f>
        <v>N/A</v>
      </c>
      <c r="K29" s="2">
        <f t="shared" ref="K29" si="4">IF(AND(K28&lt;&gt;0,J28&lt;&gt;0),(K28/J28)-1,"N/A")</f>
        <v>6.2742566950132028E-2</v>
      </c>
      <c r="L29" s="2">
        <f t="shared" ref="L29" si="5">IF(AND(L28&lt;&gt;0,K28&lt;&gt;0),(L28/K28)-1,"N/A")</f>
        <v>0.32743653788697924</v>
      </c>
      <c r="M29" s="2">
        <f t="shared" ref="M29" si="6">IF(AND(M28&lt;&gt;0,L28&lt;&gt;0),(M28/L28)-1,"N/A")</f>
        <v>0.98588450950140016</v>
      </c>
      <c r="N29" s="2">
        <f t="shared" ref="N29" si="7">IF(AND(N28&lt;&gt;0,M28&lt;&gt;0),(N28/M28)-1,"N/A")</f>
        <v>-0.17538795243267746</v>
      </c>
      <c r="O29" s="2">
        <f t="shared" ref="O29" si="8">IF(AND(O28&lt;&gt;0,N28&lt;&gt;0),(O28/N28)-1,"N/A")</f>
        <v>-0.10985471092461396</v>
      </c>
      <c r="P29" s="2" t="str">
        <f t="shared" ref="P29" si="9">IF(AND(P28&lt;&gt;0,O28&lt;&gt;0),(P28/O28)-1,"N/A")</f>
        <v>N/A</v>
      </c>
      <c r="Q29" s="2" t="str">
        <f t="shared" ref="Q29" si="10">IF(AND(Q28&lt;&gt;0,P28&lt;&gt;0),(Q28/P28)-1,"N/A")</f>
        <v>N/A</v>
      </c>
      <c r="R29" s="2" t="str">
        <f t="shared" ref="R29" si="11">IF(AND(R28&lt;&gt;0,Q28&lt;&gt;0),(R28/Q28)-1,"N/A")</f>
        <v>N/A</v>
      </c>
      <c r="S29" s="2" t="str">
        <f t="shared" ref="S29" si="12">IF(AND(S28&lt;&gt;0,R28&lt;&gt;0),(S28/R28)-1,"N/A")</f>
        <v>N/A</v>
      </c>
      <c r="T29" s="2" t="str">
        <f t="shared" ref="T29" si="13">IF(AND(T28&lt;&gt;0,S28&lt;&gt;0),(T28/S28)-1,"N/A")</f>
        <v>N/A</v>
      </c>
      <c r="U29" s="2" t="str">
        <f t="shared" ref="U29" si="14">IF(AND(U28&lt;&gt;0,T28&lt;&gt;0),(U28/T28)-1,"N/A")</f>
        <v>N/A</v>
      </c>
      <c r="V29" s="2" t="str">
        <f t="shared" ref="V29" si="15">IF(AND(V28&lt;&gt;0,U28&lt;&gt;0),(V28/U28)-1,"N/A")</f>
        <v>N/A</v>
      </c>
      <c r="W29" s="2" t="str">
        <f t="shared" ref="W29" si="16">IF(AND(W28&lt;&gt;0,V28&lt;&gt;0),(W28/V28)-1,"N/A")</f>
        <v>N/A</v>
      </c>
    </row>
    <row r="31" spans="1:23">
      <c r="C31" s="357">
        <f xml:space="preserve"> InpS!C$19</f>
        <v>0</v>
      </c>
      <c r="D31" s="357">
        <f xml:space="preserve"> InpS!D$19</f>
        <v>0</v>
      </c>
      <c r="E31" s="357" t="str">
        <f xml:space="preserve"> InpS!E$19</f>
        <v>Forecast Exports sales Growth Rate-Best Case</v>
      </c>
      <c r="F31" s="357">
        <f xml:space="preserve"> InpS!F$19</f>
        <v>2</v>
      </c>
      <c r="G31" s="357">
        <f xml:space="preserve"> InpS!G$19</f>
        <v>0</v>
      </c>
      <c r="H31" s="357">
        <f xml:space="preserve"> InpS!H$19</f>
        <v>0</v>
      </c>
      <c r="I31" s="357">
        <f xml:space="preserve"> InpS!I$19</f>
        <v>0</v>
      </c>
      <c r="J31" s="357">
        <f xml:space="preserve"> InpS!J$19</f>
        <v>0</v>
      </c>
      <c r="K31" s="357">
        <f xml:space="preserve"> InpS!K$19</f>
        <v>0</v>
      </c>
      <c r="L31" s="357">
        <f xml:space="preserve"> InpS!L$19</f>
        <v>0</v>
      </c>
      <c r="M31" s="357">
        <f xml:space="preserve"> InpS!M$19</f>
        <v>0</v>
      </c>
      <c r="N31" s="357">
        <f xml:space="preserve"> InpS!N$19</f>
        <v>0</v>
      </c>
      <c r="O31" s="357">
        <f xml:space="preserve"> InpS!O$19</f>
        <v>0</v>
      </c>
      <c r="P31" s="357">
        <f xml:space="preserve"> InpS!P$19</f>
        <v>0.15</v>
      </c>
      <c r="Q31" s="357">
        <f xml:space="preserve"> InpS!Q$19</f>
        <v>0.15</v>
      </c>
      <c r="R31" s="357">
        <f xml:space="preserve"> InpS!R$19</f>
        <v>0.15</v>
      </c>
      <c r="S31" s="357">
        <f xml:space="preserve"> InpS!S$19</f>
        <v>0.15</v>
      </c>
      <c r="T31" s="357">
        <f xml:space="preserve"> InpS!T$19</f>
        <v>0.15</v>
      </c>
      <c r="U31" s="357">
        <f xml:space="preserve"> InpS!U$19</f>
        <v>0.15</v>
      </c>
      <c r="V31" s="282"/>
      <c r="W31" s="282"/>
    </row>
    <row r="32" spans="1:23">
      <c r="F32" s="2"/>
      <c r="J32" s="2"/>
      <c r="K32" s="2"/>
      <c r="L32" s="2"/>
      <c r="M32" s="2"/>
      <c r="N32" s="2"/>
      <c r="O32" s="2"/>
      <c r="P32" s="2"/>
      <c r="Q32" s="2"/>
      <c r="R32" s="2"/>
      <c r="S32" s="2"/>
      <c r="T32" s="2"/>
      <c r="U32" s="2"/>
      <c r="V32" s="2"/>
      <c r="W32" s="2"/>
    </row>
    <row r="33" spans="1:23">
      <c r="C33" s="16" t="s">
        <v>183</v>
      </c>
    </row>
    <row r="35" spans="1:23">
      <c r="E35" s="282" t="str">
        <f xml:space="preserve"> 'FinStat Act'!E$10</f>
        <v>Exports Actuals</v>
      </c>
      <c r="F35" s="282">
        <f xml:space="preserve"> 'FinStat Act'!F$10</f>
        <v>0</v>
      </c>
      <c r="G35" s="282" t="str">
        <f xml:space="preserve"> 'FinStat Act'!G$10</f>
        <v>Kes '000'</v>
      </c>
      <c r="H35" s="282">
        <f xml:space="preserve"> 'FinStat Act'!H$10</f>
        <v>45044200</v>
      </c>
      <c r="I35" s="282">
        <f xml:space="preserve"> 'FinStat Act'!I$10</f>
        <v>0</v>
      </c>
      <c r="J35" s="282">
        <f xml:space="preserve"> 'FinStat Act'!J$10</f>
        <v>4232852</v>
      </c>
      <c r="K35" s="282">
        <f xml:space="preserve"> 'FinStat Act'!K$10</f>
        <v>4498432</v>
      </c>
      <c r="L35" s="282">
        <f xml:space="preserve"> 'FinStat Act'!L$10</f>
        <v>5971383</v>
      </c>
      <c r="M35" s="282">
        <f xml:space="preserve"> 'FinStat Act'!M$10</f>
        <v>11858477</v>
      </c>
      <c r="N35" s="282">
        <f xml:space="preserve"> 'FinStat Act'!N$10</f>
        <v>9778643</v>
      </c>
      <c r="O35" s="282">
        <f xml:space="preserve"> 'FinStat Act'!O$10</f>
        <v>8704413</v>
      </c>
      <c r="P35" s="282">
        <f xml:space="preserve"> 'FinStat Act'!P$10</f>
        <v>0</v>
      </c>
      <c r="Q35" s="282">
        <f xml:space="preserve"> 'FinStat Act'!Q$10</f>
        <v>0</v>
      </c>
      <c r="R35" s="282">
        <f xml:space="preserve"> 'FinStat Act'!R$10</f>
        <v>0</v>
      </c>
      <c r="S35" s="282">
        <f xml:space="preserve"> 'FinStat Act'!S$10</f>
        <v>0</v>
      </c>
      <c r="T35" s="282">
        <f xml:space="preserve"> 'FinStat Act'!T$10</f>
        <v>0</v>
      </c>
      <c r="U35" s="282">
        <f xml:space="preserve"> 'FinStat Act'!U$10</f>
        <v>0</v>
      </c>
      <c r="V35" s="282">
        <f xml:space="preserve"> 'FinStat Act'!V$10</f>
        <v>0</v>
      </c>
      <c r="W35" s="282">
        <f xml:space="preserve"> 'FinStat Act'!W$10</f>
        <v>0</v>
      </c>
    </row>
    <row r="36" spans="1:23" s="2" customFormat="1">
      <c r="A36" s="284"/>
      <c r="B36" s="285"/>
      <c r="C36" s="286"/>
      <c r="D36" s="287"/>
      <c r="E36" s="288" t="str">
        <f xml:space="preserve"> E$31</f>
        <v>Forecast Exports sales Growth Rate-Best Case</v>
      </c>
      <c r="F36" s="288">
        <f t="shared" ref="F36:W36" si="17" xml:space="preserve"> F$31</f>
        <v>2</v>
      </c>
      <c r="G36" s="288">
        <f t="shared" si="17"/>
        <v>0</v>
      </c>
      <c r="H36" s="288">
        <f t="shared" si="17"/>
        <v>0</v>
      </c>
      <c r="I36" s="288">
        <f t="shared" si="17"/>
        <v>0</v>
      </c>
      <c r="J36" s="288">
        <f t="shared" si="17"/>
        <v>0</v>
      </c>
      <c r="K36" s="288">
        <f t="shared" si="17"/>
        <v>0</v>
      </c>
      <c r="L36" s="288">
        <f t="shared" si="17"/>
        <v>0</v>
      </c>
      <c r="M36" s="288">
        <f t="shared" si="17"/>
        <v>0</v>
      </c>
      <c r="N36" s="288">
        <f t="shared" si="17"/>
        <v>0</v>
      </c>
      <c r="O36" s="288">
        <f t="shared" si="17"/>
        <v>0</v>
      </c>
      <c r="P36" s="288">
        <f t="shared" si="17"/>
        <v>0.15</v>
      </c>
      <c r="Q36" s="288">
        <f t="shared" si="17"/>
        <v>0.15</v>
      </c>
      <c r="R36" s="288">
        <f t="shared" si="17"/>
        <v>0.15</v>
      </c>
      <c r="S36" s="288">
        <f t="shared" si="17"/>
        <v>0.15</v>
      </c>
      <c r="T36" s="288">
        <f t="shared" si="17"/>
        <v>0.15</v>
      </c>
      <c r="U36" s="288">
        <f t="shared" si="17"/>
        <v>0.15</v>
      </c>
      <c r="V36" s="288">
        <f t="shared" si="17"/>
        <v>0</v>
      </c>
      <c r="W36" s="288">
        <f t="shared" si="17"/>
        <v>0</v>
      </c>
    </row>
    <row r="37" spans="1:23">
      <c r="E37" s="282" t="str">
        <f xml:space="preserve"> Time!E$43</f>
        <v>Forecast period flag</v>
      </c>
      <c r="F37" s="282">
        <f xml:space="preserve"> Time!F$43</f>
        <v>0</v>
      </c>
      <c r="G37" s="282" t="str">
        <f xml:space="preserve"> Time!G$43</f>
        <v>flag</v>
      </c>
      <c r="H37" s="282">
        <f xml:space="preserve"> Time!H$43</f>
        <v>6</v>
      </c>
      <c r="I37" s="282">
        <f xml:space="preserve"> Time!I$43</f>
        <v>0</v>
      </c>
      <c r="J37" s="282">
        <f xml:space="preserve"> Time!J$43</f>
        <v>0</v>
      </c>
      <c r="K37" s="282">
        <f xml:space="preserve"> Time!K$43</f>
        <v>0</v>
      </c>
      <c r="L37" s="282">
        <f xml:space="preserve"> Time!L$43</f>
        <v>0</v>
      </c>
      <c r="M37" s="282">
        <f xml:space="preserve"> Time!M$43</f>
        <v>0</v>
      </c>
      <c r="N37" s="282">
        <f xml:space="preserve"> Time!N$43</f>
        <v>0</v>
      </c>
      <c r="O37" s="282">
        <f xml:space="preserve"> Time!O$43</f>
        <v>0</v>
      </c>
      <c r="P37" s="282">
        <f xml:space="preserve"> Time!P$43</f>
        <v>1</v>
      </c>
      <c r="Q37" s="282">
        <f xml:space="preserve"> Time!Q$43</f>
        <v>1</v>
      </c>
      <c r="R37" s="282">
        <f xml:space="preserve"> Time!R$43</f>
        <v>1</v>
      </c>
      <c r="S37" s="282">
        <f xml:space="preserve"> Time!S$43</f>
        <v>1</v>
      </c>
      <c r="T37" s="282">
        <f xml:space="preserve"> Time!T$43</f>
        <v>1</v>
      </c>
      <c r="U37" s="282">
        <f xml:space="preserve"> Time!U$43</f>
        <v>1</v>
      </c>
      <c r="V37" s="282">
        <f xml:space="preserve"> Time!V$43</f>
        <v>0</v>
      </c>
      <c r="W37" s="282">
        <f xml:space="preserve"> Time!W$43</f>
        <v>0</v>
      </c>
    </row>
    <row r="38" spans="1:23">
      <c r="E38" s="282" t="str">
        <f xml:space="preserve"> Time!E$48</f>
        <v>First forecast period flag</v>
      </c>
      <c r="F38" s="282">
        <f xml:space="preserve"> Time!F$48</f>
        <v>0</v>
      </c>
      <c r="G38" s="282" t="str">
        <f xml:space="preserve"> Time!G$48</f>
        <v>flag</v>
      </c>
      <c r="H38" s="282">
        <f xml:space="preserve"> Time!H$48</f>
        <v>1</v>
      </c>
      <c r="I38" s="282">
        <f xml:space="preserve"> Time!I$48</f>
        <v>0</v>
      </c>
      <c r="J38" s="282">
        <f xml:space="preserve"> Time!J$48</f>
        <v>0</v>
      </c>
      <c r="K38" s="282">
        <f xml:space="preserve"> Time!K$48</f>
        <v>0</v>
      </c>
      <c r="L38" s="282">
        <f xml:space="preserve"> Time!L$48</f>
        <v>0</v>
      </c>
      <c r="M38" s="282">
        <f xml:space="preserve"> Time!M$48</f>
        <v>0</v>
      </c>
      <c r="N38" s="282">
        <f xml:space="preserve"> Time!N$48</f>
        <v>0</v>
      </c>
      <c r="O38" s="282">
        <f xml:space="preserve"> Time!O$48</f>
        <v>0</v>
      </c>
      <c r="P38" s="282">
        <f xml:space="preserve"> Time!P$48</f>
        <v>1</v>
      </c>
      <c r="Q38" s="282">
        <f xml:space="preserve"> Time!Q$48</f>
        <v>0</v>
      </c>
      <c r="R38" s="282">
        <f xml:space="preserve"> Time!R$48</f>
        <v>0</v>
      </c>
      <c r="S38" s="282">
        <f xml:space="preserve"> Time!S$48</f>
        <v>0</v>
      </c>
      <c r="T38" s="282">
        <f xml:space="preserve"> Time!T$48</f>
        <v>0</v>
      </c>
      <c r="U38" s="282">
        <f xml:space="preserve"> Time!U$48</f>
        <v>0</v>
      </c>
      <c r="V38" s="282">
        <f xml:space="preserve"> Time!V$48</f>
        <v>0</v>
      </c>
      <c r="W38" s="282">
        <f xml:space="preserve"> Time!W$48</f>
        <v>0</v>
      </c>
    </row>
    <row r="39" spans="1:23" s="191" customFormat="1">
      <c r="A39" s="188"/>
      <c r="B39" s="189"/>
      <c r="C39" s="291"/>
      <c r="D39" s="190"/>
      <c r="E39" s="191" t="s">
        <v>183</v>
      </c>
      <c r="G39" s="191" t="str">
        <f>smu</f>
        <v>Kes '000'</v>
      </c>
      <c r="H39" s="191">
        <f xml:space="preserve"> SUM(J39:W39)</f>
        <v>87625577.852070868</v>
      </c>
      <c r="J39" s="292">
        <f t="shared" ref="J39" si="18">IF(J38=1,I35*(1+J36),I39*(1+J36))*J37</f>
        <v>0</v>
      </c>
      <c r="K39" s="292">
        <f t="shared" ref="K39" si="19">IF(K38=1,J35*(1+K36),J39*(1+K36))*K37</f>
        <v>0</v>
      </c>
      <c r="L39" s="292">
        <f t="shared" ref="L39" si="20">IF(L38=1,K35*(1+L36),K39*(1+L36))*L37</f>
        <v>0</v>
      </c>
      <c r="M39" s="292">
        <f t="shared" ref="M39" si="21">IF(M38=1,L35*(1+M36),L39*(1+M36))*M37</f>
        <v>0</v>
      </c>
      <c r="N39" s="292">
        <f t="shared" ref="N39" si="22">IF(N38=1,M35*(1+N36),M39*(1+N36))*N37</f>
        <v>0</v>
      </c>
      <c r="O39" s="292">
        <f>IF(O38=1,N35*(1+O36),N39*(1+O36))*O37</f>
        <v>0</v>
      </c>
      <c r="P39" s="292">
        <f>IF(P38=1,O35*(1+P36),O39*(1+P36))*P37</f>
        <v>10010074.949999999</v>
      </c>
      <c r="Q39" s="292">
        <f>IF(Q38=1,P35*(1+Q36),P39*(1+Q36))*Q37</f>
        <v>11511586.192499999</v>
      </c>
      <c r="R39" s="292">
        <f t="shared" ref="R39" si="23">IF(R38=1,Q35*(1+R36),Q39*(1+R36))*R37</f>
        <v>13238324.121374998</v>
      </c>
      <c r="S39" s="292">
        <f t="shared" ref="S39" si="24">IF(S38=1,R35*(1+S36),R39*(1+S36))*S37</f>
        <v>15224072.739581246</v>
      </c>
      <c r="T39" s="292">
        <f t="shared" ref="T39" si="25">IF(T38=1,S35*(1+T36),S39*(1+T36))*T37</f>
        <v>17507683.650518432</v>
      </c>
      <c r="U39" s="292">
        <f t="shared" ref="U39" si="26">IF(U38=1,T35*(1+U36),T39*(1+U36))*U37</f>
        <v>20133836.198096197</v>
      </c>
      <c r="V39" s="292">
        <f>IF(V38=1,U35*(1+V36),U39*(1+V36))*V37</f>
        <v>0</v>
      </c>
      <c r="W39" s="292">
        <f t="shared" ref="W39" si="27">IF(W38=1,V35*(1+W36),V39*(1+W36))*W37</f>
        <v>0</v>
      </c>
    </row>
    <row r="43" spans="1:23">
      <c r="B43" s="4" t="s">
        <v>184</v>
      </c>
    </row>
    <row r="45" spans="1:23">
      <c r="E45" s="27" t="str">
        <f xml:space="preserve"> E$24</f>
        <v>Forecast Local Sales</v>
      </c>
      <c r="F45" s="27">
        <f t="shared" ref="F45:W45" si="28" xml:space="preserve"> F$24</f>
        <v>0</v>
      </c>
      <c r="G45" s="27" t="str">
        <f t="shared" si="28"/>
        <v>Kes '000'</v>
      </c>
      <c r="H45" s="27">
        <f t="shared" si="28"/>
        <v>130053786.774912</v>
      </c>
      <c r="I45" s="27">
        <f t="shared" si="28"/>
        <v>0</v>
      </c>
      <c r="J45" s="27">
        <f t="shared" si="28"/>
        <v>0</v>
      </c>
      <c r="K45" s="27">
        <f t="shared" si="28"/>
        <v>0</v>
      </c>
      <c r="L45" s="27">
        <f t="shared" si="28"/>
        <v>0</v>
      </c>
      <c r="M45" s="27">
        <f t="shared" si="28"/>
        <v>0</v>
      </c>
      <c r="N45" s="27">
        <f t="shared" si="28"/>
        <v>0</v>
      </c>
      <c r="O45" s="27">
        <f t="shared" si="28"/>
        <v>0</v>
      </c>
      <c r="P45" s="27">
        <f t="shared" si="28"/>
        <v>13097163.6</v>
      </c>
      <c r="Q45" s="27">
        <f t="shared" si="28"/>
        <v>15716596.319999998</v>
      </c>
      <c r="R45" s="27">
        <f t="shared" si="28"/>
        <v>18859915.583999999</v>
      </c>
      <c r="S45" s="27">
        <f t="shared" si="28"/>
        <v>22631898.700799998</v>
      </c>
      <c r="T45" s="27">
        <f t="shared" si="28"/>
        <v>27158278.440959997</v>
      </c>
      <c r="U45" s="27">
        <f t="shared" si="28"/>
        <v>32589934.129151996</v>
      </c>
      <c r="V45" s="27">
        <f t="shared" si="28"/>
        <v>0</v>
      </c>
      <c r="W45" s="27">
        <f t="shared" si="28"/>
        <v>0</v>
      </c>
    </row>
    <row r="46" spans="1:23">
      <c r="E46" s="27" t="str">
        <f xml:space="preserve"> E$39</f>
        <v>Forecast Exports sales</v>
      </c>
      <c r="F46" s="27">
        <f t="shared" ref="F46:W46" si="29" xml:space="preserve"> F$39</f>
        <v>0</v>
      </c>
      <c r="G46" s="27" t="str">
        <f t="shared" si="29"/>
        <v>Kes '000'</v>
      </c>
      <c r="H46" s="27">
        <f t="shared" si="29"/>
        <v>87625577.852070868</v>
      </c>
      <c r="I46" s="27">
        <f t="shared" si="29"/>
        <v>0</v>
      </c>
      <c r="J46" s="27">
        <f t="shared" si="29"/>
        <v>0</v>
      </c>
      <c r="K46" s="27">
        <f t="shared" si="29"/>
        <v>0</v>
      </c>
      <c r="L46" s="27">
        <f t="shared" si="29"/>
        <v>0</v>
      </c>
      <c r="M46" s="27">
        <f t="shared" si="29"/>
        <v>0</v>
      </c>
      <c r="N46" s="27">
        <f t="shared" si="29"/>
        <v>0</v>
      </c>
      <c r="O46" s="27">
        <f t="shared" si="29"/>
        <v>0</v>
      </c>
      <c r="P46" s="27">
        <f t="shared" si="29"/>
        <v>10010074.949999999</v>
      </c>
      <c r="Q46" s="27">
        <f t="shared" si="29"/>
        <v>11511586.192499999</v>
      </c>
      <c r="R46" s="27">
        <f t="shared" si="29"/>
        <v>13238324.121374998</v>
      </c>
      <c r="S46" s="27">
        <f t="shared" si="29"/>
        <v>15224072.739581246</v>
      </c>
      <c r="T46" s="27">
        <f t="shared" si="29"/>
        <v>17507683.650518432</v>
      </c>
      <c r="U46" s="27">
        <f t="shared" si="29"/>
        <v>20133836.198096197</v>
      </c>
      <c r="V46" s="27">
        <f t="shared" si="29"/>
        <v>0</v>
      </c>
      <c r="W46" s="27">
        <f t="shared" si="29"/>
        <v>0</v>
      </c>
    </row>
    <row r="47" spans="1:23">
      <c r="E47" s="58" t="s">
        <v>185</v>
      </c>
      <c r="G47" s="58" t="str">
        <f>smu</f>
        <v>Kes '000'</v>
      </c>
      <c r="H47" s="10">
        <f xml:space="preserve"> SUM(J47:W47)</f>
        <v>217679364.62698284</v>
      </c>
      <c r="J47" s="58">
        <f>SUM(J45:J46)</f>
        <v>0</v>
      </c>
      <c r="K47" s="58">
        <f t="shared" ref="K47:W47" si="30">SUM(K45:K46)</f>
        <v>0</v>
      </c>
      <c r="L47" s="58">
        <f t="shared" si="30"/>
        <v>0</v>
      </c>
      <c r="M47" s="58">
        <f t="shared" si="30"/>
        <v>0</v>
      </c>
      <c r="N47" s="58">
        <f t="shared" si="30"/>
        <v>0</v>
      </c>
      <c r="O47" s="58">
        <f t="shared" si="30"/>
        <v>0</v>
      </c>
      <c r="P47" s="58">
        <f t="shared" si="30"/>
        <v>23107238.549999997</v>
      </c>
      <c r="Q47" s="58">
        <f t="shared" si="30"/>
        <v>27228182.512499996</v>
      </c>
      <c r="R47" s="58">
        <f t="shared" si="30"/>
        <v>32098239.705374997</v>
      </c>
      <c r="S47" s="58">
        <f t="shared" si="30"/>
        <v>37855971.440381244</v>
      </c>
      <c r="T47" s="58">
        <f t="shared" si="30"/>
        <v>44665962.09147843</v>
      </c>
      <c r="U47" s="58">
        <f t="shared" si="30"/>
        <v>52723770.327248193</v>
      </c>
      <c r="V47" s="58">
        <f t="shared" si="30"/>
        <v>0</v>
      </c>
      <c r="W47" s="58">
        <f t="shared" si="30"/>
        <v>0</v>
      </c>
    </row>
    <row r="49" spans="1:23" s="134" customFormat="1">
      <c r="A49" s="130"/>
      <c r="B49" s="4" t="s">
        <v>237</v>
      </c>
      <c r="C49" s="132"/>
      <c r="D49" s="133"/>
    </row>
    <row r="50" spans="1:23">
      <c r="B50" s="58"/>
    </row>
    <row r="51" spans="1:23">
      <c r="C51" s="16" t="s">
        <v>238</v>
      </c>
    </row>
    <row r="53" spans="1:23">
      <c r="E53" s="282" t="str">
        <f xml:space="preserve"> FinStat!E$14</f>
        <v>Other income</v>
      </c>
      <c r="F53" s="282">
        <f xml:space="preserve"> FinStat!F$14</f>
        <v>0</v>
      </c>
      <c r="G53" s="282" t="str">
        <f xml:space="preserve"> FinStat!G$14</f>
        <v>Kes '000'</v>
      </c>
      <c r="H53" s="282">
        <f xml:space="preserve"> FinStat!H$14</f>
        <v>4974399.8340317253</v>
      </c>
      <c r="I53" s="282">
        <f xml:space="preserve"> FinStat!I$14</f>
        <v>0</v>
      </c>
      <c r="J53" s="282">
        <f xml:space="preserve"> FinStat!J$14</f>
        <v>199745</v>
      </c>
      <c r="K53" s="282">
        <f xml:space="preserve"> FinStat!K$14</f>
        <v>237536</v>
      </c>
      <c r="L53" s="282">
        <f xml:space="preserve"> FinStat!L$14</f>
        <v>138766</v>
      </c>
      <c r="M53" s="282">
        <f xml:space="preserve"> FinStat!M$14</f>
        <v>291319</v>
      </c>
      <c r="N53" s="282">
        <f xml:space="preserve"> FinStat!N$14</f>
        <v>408619</v>
      </c>
      <c r="O53" s="282">
        <f xml:space="preserve"> FinStat!O$14</f>
        <v>215545</v>
      </c>
      <c r="P53" s="282">
        <f xml:space="preserve"> FinStat!P$14</f>
        <v>369715.81679999997</v>
      </c>
      <c r="Q53" s="282">
        <f xml:space="preserve"> FinStat!Q$14</f>
        <v>435650.92019999993</v>
      </c>
      <c r="R53" s="282">
        <f xml:space="preserve"> FinStat!R$14</f>
        <v>513571.83528599999</v>
      </c>
      <c r="S53" s="282">
        <f xml:space="preserve"> FinStat!S$14</f>
        <v>605695.54304609995</v>
      </c>
      <c r="T53" s="282">
        <f xml:space="preserve"> FinStat!T$14</f>
        <v>714655.39346365491</v>
      </c>
      <c r="U53" s="282">
        <f xml:space="preserve"> FinStat!U$14</f>
        <v>843580.32523597113</v>
      </c>
      <c r="V53" s="282">
        <f xml:space="preserve"> FinStat!V$14</f>
        <v>0</v>
      </c>
      <c r="W53" s="282">
        <f xml:space="preserve"> FinStat!W$14</f>
        <v>0</v>
      </c>
    </row>
    <row r="54" spans="1:23">
      <c r="E54" s="282" t="str">
        <f xml:space="preserve"> 'FinStat Act'!E$11</f>
        <v>Total Revenue Actuals</v>
      </c>
      <c r="F54" s="282">
        <f xml:space="preserve"> 'FinStat Act'!F$11</f>
        <v>0</v>
      </c>
      <c r="G54" s="282" t="str">
        <f xml:space="preserve"> 'FinStat Act'!G$11</f>
        <v>Kes '000'</v>
      </c>
      <c r="H54" s="282">
        <f xml:space="preserve"> 'FinStat Act'!H$11</f>
        <v>94547834</v>
      </c>
      <c r="I54" s="282">
        <f xml:space="preserve"> 'FinStat Act'!I$11</f>
        <v>0</v>
      </c>
      <c r="J54" s="282">
        <f xml:space="preserve"> 'FinStat Act'!J$11</f>
        <v>10283369</v>
      </c>
      <c r="K54" s="282">
        <f xml:space="preserve"> 'FinStat Act'!K$11</f>
        <v>11094396</v>
      </c>
      <c r="L54" s="282">
        <f xml:space="preserve"> 'FinStat Act'!L$11</f>
        <v>13539233</v>
      </c>
      <c r="M54" s="282">
        <f xml:space="preserve"> 'FinStat Act'!M$11</f>
        <v>20603120</v>
      </c>
      <c r="N54" s="282">
        <f xml:space="preserve"> 'FinStat Act'!N$11</f>
        <v>19409000</v>
      </c>
      <c r="O54" s="282">
        <f xml:space="preserve"> 'FinStat Act'!O$11</f>
        <v>19618716</v>
      </c>
      <c r="P54" s="282">
        <f xml:space="preserve"> 'FinStat Act'!P$11</f>
        <v>0</v>
      </c>
      <c r="Q54" s="282">
        <f xml:space="preserve"> 'FinStat Act'!Q$11</f>
        <v>0</v>
      </c>
      <c r="R54" s="282">
        <f xml:space="preserve"> 'FinStat Act'!R$11</f>
        <v>0</v>
      </c>
      <c r="S54" s="282">
        <f xml:space="preserve"> 'FinStat Act'!S$11</f>
        <v>0</v>
      </c>
      <c r="T54" s="282">
        <f xml:space="preserve"> 'FinStat Act'!T$11</f>
        <v>0</v>
      </c>
      <c r="U54" s="282">
        <f xml:space="preserve"> 'FinStat Act'!U$11</f>
        <v>0</v>
      </c>
      <c r="V54" s="282">
        <f xml:space="preserve"> 'FinStat Act'!V$11</f>
        <v>0</v>
      </c>
      <c r="W54" s="282">
        <f xml:space="preserve"> 'FinStat Act'!W$11</f>
        <v>0</v>
      </c>
    </row>
    <row r="55" spans="1:23">
      <c r="E55" s="58" t="s">
        <v>238</v>
      </c>
      <c r="F55" s="2">
        <f>AVERAGE(J55:W55)</f>
        <v>1.6210506077041369E-2</v>
      </c>
      <c r="G55" s="58" t="s">
        <v>179</v>
      </c>
      <c r="H55" s="2">
        <f>H53/H54</f>
        <v>5.2612520282926054E-2</v>
      </c>
      <c r="I55" s="2"/>
      <c r="J55" s="2">
        <f>IF(AND(J53&lt;&gt;0,J54&lt;&gt;0),ABS(J53/J54),"N/A")</f>
        <v>1.9424081738192999E-2</v>
      </c>
      <c r="K55" s="2">
        <f t="shared" ref="K55:W55" si="31">IF(AND(K53&lt;&gt;0,K54&lt;&gt;0),ABS(K53/K54),"N/A")</f>
        <v>2.141044902309238E-2</v>
      </c>
      <c r="L55" s="2">
        <f t="shared" si="31"/>
        <v>1.0249177335230142E-2</v>
      </c>
      <c r="M55" s="2">
        <f t="shared" si="31"/>
        <v>1.4139557503912029E-2</v>
      </c>
      <c r="N55" s="2">
        <f t="shared" si="31"/>
        <v>2.1053068164253695E-2</v>
      </c>
      <c r="O55" s="2">
        <f t="shared" si="31"/>
        <v>1.0986702697566957E-2</v>
      </c>
      <c r="P55" s="2" t="str">
        <f t="shared" si="31"/>
        <v>N/A</v>
      </c>
      <c r="Q55" s="2" t="str">
        <f t="shared" si="31"/>
        <v>N/A</v>
      </c>
      <c r="R55" s="2" t="str">
        <f t="shared" si="31"/>
        <v>N/A</v>
      </c>
      <c r="S55" s="2" t="str">
        <f t="shared" si="31"/>
        <v>N/A</v>
      </c>
      <c r="T55" s="2" t="str">
        <f t="shared" si="31"/>
        <v>N/A</v>
      </c>
      <c r="U55" s="2" t="str">
        <f t="shared" si="31"/>
        <v>N/A</v>
      </c>
      <c r="V55" s="2" t="str">
        <f t="shared" si="31"/>
        <v>N/A</v>
      </c>
      <c r="W55" s="2" t="str">
        <f t="shared" si="31"/>
        <v>N/A</v>
      </c>
    </row>
    <row r="57" spans="1:23">
      <c r="C57" s="16" t="s">
        <v>239</v>
      </c>
    </row>
    <row r="59" spans="1:23">
      <c r="E59" s="282" t="str">
        <f xml:space="preserve"> InpS!E$23</f>
        <v>Forecast Other Income margin</v>
      </c>
      <c r="F59" s="282">
        <f xml:space="preserve"> InpS!F$23</f>
        <v>0</v>
      </c>
      <c r="G59" s="282">
        <f xml:space="preserve"> InpS!G$23</f>
        <v>0</v>
      </c>
      <c r="H59" s="282">
        <f xml:space="preserve"> InpS!H$23</f>
        <v>0</v>
      </c>
      <c r="I59" s="282"/>
      <c r="J59" s="357">
        <f xml:space="preserve"> InpS!J$23</f>
        <v>0</v>
      </c>
      <c r="K59" s="357">
        <f xml:space="preserve"> InpS!K$23</f>
        <v>0</v>
      </c>
      <c r="L59" s="357">
        <f xml:space="preserve"> InpS!L$23</f>
        <v>0</v>
      </c>
      <c r="M59" s="357">
        <f xml:space="preserve"> InpS!M$23</f>
        <v>0</v>
      </c>
      <c r="N59" s="357">
        <f xml:space="preserve"> InpS!N$23</f>
        <v>0</v>
      </c>
      <c r="O59" s="357">
        <f xml:space="preserve"> InpS!O$23</f>
        <v>0</v>
      </c>
      <c r="P59" s="357">
        <f xml:space="preserve"> InpS!P$23</f>
        <v>1.6E-2</v>
      </c>
      <c r="Q59" s="357">
        <f xml:space="preserve"> InpS!Q$23</f>
        <v>1.6E-2</v>
      </c>
      <c r="R59" s="357">
        <f xml:space="preserve"> InpS!R$23</f>
        <v>1.6E-2</v>
      </c>
      <c r="S59" s="357">
        <f xml:space="preserve"> InpS!S$23</f>
        <v>1.6E-2</v>
      </c>
      <c r="T59" s="357">
        <f xml:space="preserve"> InpS!T$23</f>
        <v>1.6E-2</v>
      </c>
      <c r="U59" s="357">
        <f xml:space="preserve"> InpS!U$23</f>
        <v>1.6E-2</v>
      </c>
      <c r="V59" s="290"/>
      <c r="W59" s="290"/>
    </row>
    <row r="61" spans="1:23">
      <c r="C61" s="16" t="s">
        <v>237</v>
      </c>
    </row>
    <row r="63" spans="1:23">
      <c r="E63" s="288" t="str">
        <f xml:space="preserve"> E$59</f>
        <v>Forecast Other Income margin</v>
      </c>
      <c r="F63" s="288">
        <f t="shared" ref="F63:W63" si="32" xml:space="preserve"> F$59</f>
        <v>0</v>
      </c>
      <c r="G63" s="288">
        <f t="shared" si="32"/>
        <v>0</v>
      </c>
      <c r="H63" s="288">
        <f t="shared" si="32"/>
        <v>0</v>
      </c>
      <c r="I63" s="288">
        <f t="shared" si="32"/>
        <v>0</v>
      </c>
      <c r="J63" s="288">
        <f t="shared" si="32"/>
        <v>0</v>
      </c>
      <c r="K63" s="288">
        <f t="shared" si="32"/>
        <v>0</v>
      </c>
      <c r="L63" s="288">
        <f t="shared" si="32"/>
        <v>0</v>
      </c>
      <c r="M63" s="288">
        <f t="shared" si="32"/>
        <v>0</v>
      </c>
      <c r="N63" s="288">
        <f t="shared" si="32"/>
        <v>0</v>
      </c>
      <c r="O63" s="288">
        <f t="shared" si="32"/>
        <v>0</v>
      </c>
      <c r="P63" s="288">
        <f t="shared" si="32"/>
        <v>1.6E-2</v>
      </c>
      <c r="Q63" s="288">
        <f t="shared" si="32"/>
        <v>1.6E-2</v>
      </c>
      <c r="R63" s="288">
        <f t="shared" si="32"/>
        <v>1.6E-2</v>
      </c>
      <c r="S63" s="288">
        <f t="shared" si="32"/>
        <v>1.6E-2</v>
      </c>
      <c r="T63" s="288">
        <f t="shared" si="32"/>
        <v>1.6E-2</v>
      </c>
      <c r="U63" s="288">
        <f t="shared" si="32"/>
        <v>1.6E-2</v>
      </c>
      <c r="V63" s="288">
        <f t="shared" si="32"/>
        <v>0</v>
      </c>
      <c r="W63" s="288">
        <f t="shared" si="32"/>
        <v>0</v>
      </c>
    </row>
    <row r="64" spans="1:23" s="191" customFormat="1">
      <c r="A64" s="188"/>
      <c r="B64" s="189"/>
      <c r="C64" s="291"/>
      <c r="D64" s="190"/>
      <c r="E64" s="191" t="str">
        <f xml:space="preserve"> OpRev!E$47</f>
        <v>Forecast Total Sales</v>
      </c>
      <c r="F64" s="191">
        <f xml:space="preserve"> OpRev!F$47</f>
        <v>0</v>
      </c>
      <c r="G64" s="191" t="str">
        <f xml:space="preserve"> OpRev!G$47</f>
        <v>Kes '000'</v>
      </c>
      <c r="H64" s="191">
        <f xml:space="preserve"> OpRev!H$47</f>
        <v>217679364.62698284</v>
      </c>
      <c r="I64" s="191">
        <f xml:space="preserve"> OpRev!I$47</f>
        <v>0</v>
      </c>
      <c r="J64" s="191">
        <f xml:space="preserve"> OpRev!J$47</f>
        <v>0</v>
      </c>
      <c r="K64" s="191">
        <f xml:space="preserve"> OpRev!K$47</f>
        <v>0</v>
      </c>
      <c r="L64" s="191">
        <f xml:space="preserve"> OpRev!L$47</f>
        <v>0</v>
      </c>
      <c r="M64" s="191">
        <f xml:space="preserve"> OpRev!M$47</f>
        <v>0</v>
      </c>
      <c r="N64" s="191">
        <f xml:space="preserve"> OpRev!N$47</f>
        <v>0</v>
      </c>
      <c r="O64" s="191">
        <f xml:space="preserve"> OpRev!O$47</f>
        <v>0</v>
      </c>
      <c r="P64" s="191">
        <f xml:space="preserve"> OpRev!P$47</f>
        <v>23107238.549999997</v>
      </c>
      <c r="Q64" s="191">
        <f xml:space="preserve"> OpRev!Q$47</f>
        <v>27228182.512499996</v>
      </c>
      <c r="R64" s="191">
        <f xml:space="preserve"> OpRev!R$47</f>
        <v>32098239.705374997</v>
      </c>
      <c r="S64" s="191">
        <f xml:space="preserve"> OpRev!S$47</f>
        <v>37855971.440381244</v>
      </c>
      <c r="T64" s="191">
        <f xml:space="preserve"> OpRev!T$47</f>
        <v>44665962.09147843</v>
      </c>
      <c r="U64" s="191">
        <f xml:space="preserve"> OpRev!U$47</f>
        <v>52723770.327248193</v>
      </c>
      <c r="V64" s="191">
        <f xml:space="preserve"> OpRev!V$47</f>
        <v>0</v>
      </c>
      <c r="W64" s="191">
        <f xml:space="preserve"> OpRev!W$47</f>
        <v>0</v>
      </c>
    </row>
    <row r="65" spans="1:23" s="191" customFormat="1">
      <c r="A65" s="188"/>
      <c r="B65" s="189"/>
      <c r="C65" s="291"/>
      <c r="D65" s="190"/>
      <c r="E65" s="191" t="s">
        <v>237</v>
      </c>
      <c r="G65" s="191" t="str">
        <f>smu</f>
        <v>Kes '000'</v>
      </c>
      <c r="H65" s="191">
        <f xml:space="preserve"> SUM(J65:W65)</f>
        <v>3482869.8340317262</v>
      </c>
      <c r="J65" s="191">
        <f>J63*J64</f>
        <v>0</v>
      </c>
      <c r="K65" s="191">
        <f t="shared" ref="K65:W65" si="33">K63*K64</f>
        <v>0</v>
      </c>
      <c r="L65" s="191">
        <f t="shared" si="33"/>
        <v>0</v>
      </c>
      <c r="M65" s="191">
        <f t="shared" si="33"/>
        <v>0</v>
      </c>
      <c r="N65" s="191">
        <f t="shared" si="33"/>
        <v>0</v>
      </c>
      <c r="O65" s="191">
        <f t="shared" si="33"/>
        <v>0</v>
      </c>
      <c r="P65" s="191">
        <f>P63*P64</f>
        <v>369715.81679999997</v>
      </c>
      <c r="Q65" s="191">
        <f t="shared" si="33"/>
        <v>435650.92019999993</v>
      </c>
      <c r="R65" s="191">
        <f t="shared" si="33"/>
        <v>513571.83528599999</v>
      </c>
      <c r="S65" s="191">
        <f t="shared" si="33"/>
        <v>605695.54304609995</v>
      </c>
      <c r="T65" s="191">
        <f t="shared" si="33"/>
        <v>714655.39346365491</v>
      </c>
      <c r="U65" s="191">
        <f t="shared" si="33"/>
        <v>843580.32523597113</v>
      </c>
      <c r="V65" s="191">
        <f t="shared" si="33"/>
        <v>0</v>
      </c>
      <c r="W65" s="191">
        <f t="shared" si="33"/>
        <v>0</v>
      </c>
    </row>
  </sheetData>
  <conditionalFormatting sqref="F2">
    <cfRule type="cellIs" dxfId="39" priority="1" stopIfTrue="1" operator="notEqual">
      <formula>0</formula>
    </cfRule>
    <cfRule type="cellIs" dxfId="38" priority="2" stopIfTrue="1" operator="equal">
      <formula>""</formula>
    </cfRule>
  </conditionalFormatting>
  <conditionalFormatting sqref="J3:BY3">
    <cfRule type="cellIs" dxfId="37" priority="5" stopIfTrue="1" operator="equal">
      <formula>"Pre-forecast"</formula>
    </cfRule>
    <cfRule type="cellIs" dxfId="36"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0" tint="-0.14999847407452621"/>
    <outlinePr summaryBelow="0" summaryRight="0"/>
  </sheetPr>
  <dimension ref="A1:CA62"/>
  <sheetViews>
    <sheetView defaultGridColor="0" colorId="22" zoomScale="80" workbookViewId="0">
      <pane xSplit="9" ySplit="5" topLeftCell="J39" activePane="bottomRight" state="frozen"/>
      <selection activeCell="F2" sqref="F2"/>
      <selection pane="topRight" activeCell="F2" sqref="F2"/>
      <selection pane="bottomLeft" activeCell="F2" sqref="F2"/>
      <selection pane="bottomRight" activeCell="E55" sqref="E55:U55"/>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55.85546875" style="58" bestFit="1" customWidth="1"/>
    <col min="6" max="6" width="12.7109375" style="58" customWidth="1"/>
    <col min="7" max="7" width="11.7109375" style="58" customWidth="1"/>
    <col min="8" max="8" width="13.42578125" style="58" bestFit="1" customWidth="1"/>
    <col min="9" max="9" width="2.7109375" style="58" customWidth="1"/>
    <col min="10" max="12" width="11.7109375" style="58" customWidth="1"/>
    <col min="13" max="15" width="12.7109375" style="58" bestFit="1" customWidth="1"/>
    <col min="16" max="21" width="12.28515625" style="58" bestFit="1" customWidth="1"/>
    <col min="22"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OpCost</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c r="B7" s="4" t="s">
        <v>186</v>
      </c>
      <c r="C7" s="132"/>
      <c r="D7" s="133"/>
    </row>
    <row r="8" spans="1:77">
      <c r="B8" s="58"/>
    </row>
    <row r="9" spans="1:77">
      <c r="C9" s="16" t="s">
        <v>187</v>
      </c>
    </row>
    <row r="11" spans="1:77">
      <c r="E11" s="282" t="str">
        <f xml:space="preserve"> 'FinStat Act'!E$12</f>
        <v>Cost Of sales Actuals</v>
      </c>
      <c r="F11" s="282">
        <f xml:space="preserve"> 'FinStat Act'!F$12</f>
        <v>0</v>
      </c>
      <c r="G11" s="282" t="str">
        <f xml:space="preserve"> 'FinStat Act'!G$12</f>
        <v>Kes '000'</v>
      </c>
      <c r="H11" s="282">
        <f xml:space="preserve"> 'FinStat Act'!H$12</f>
        <v>-51161686</v>
      </c>
      <c r="I11" s="282">
        <f xml:space="preserve"> 'FinStat Act'!I$12</f>
        <v>0</v>
      </c>
      <c r="J11" s="282">
        <f xml:space="preserve"> 'FinStat Act'!J$12</f>
        <v>-5142870</v>
      </c>
      <c r="K11" s="282">
        <f xml:space="preserve"> 'FinStat Act'!K$12</f>
        <v>-5676057</v>
      </c>
      <c r="L11" s="282">
        <f xml:space="preserve"> 'FinStat Act'!L$12</f>
        <v>-7512977</v>
      </c>
      <c r="M11" s="282">
        <f xml:space="preserve"> 'FinStat Act'!M$12</f>
        <v>-11321085</v>
      </c>
      <c r="N11" s="282">
        <f xml:space="preserve"> 'FinStat Act'!N$12</f>
        <v>-11030029</v>
      </c>
      <c r="O11" s="282">
        <f xml:space="preserve"> 'FinStat Act'!O$12</f>
        <v>-10478668</v>
      </c>
      <c r="P11" s="282">
        <f xml:space="preserve"> 'FinStat Act'!P$12</f>
        <v>0</v>
      </c>
      <c r="Q11" s="282">
        <f xml:space="preserve"> 'FinStat Act'!Q$12</f>
        <v>0</v>
      </c>
      <c r="R11" s="282">
        <f xml:space="preserve"> 'FinStat Act'!R$12</f>
        <v>0</v>
      </c>
      <c r="S11" s="282">
        <f xml:space="preserve"> 'FinStat Act'!S$12</f>
        <v>0</v>
      </c>
      <c r="T11" s="282">
        <f xml:space="preserve"> 'FinStat Act'!T$12</f>
        <v>0</v>
      </c>
      <c r="U11" s="282">
        <f xml:space="preserve"> 'FinStat Act'!U$12</f>
        <v>0</v>
      </c>
      <c r="V11" s="282">
        <f xml:space="preserve"> 'FinStat Act'!V$12</f>
        <v>0</v>
      </c>
      <c r="W11" s="282">
        <f xml:space="preserve"> 'FinStat Act'!W$12</f>
        <v>0</v>
      </c>
    </row>
    <row r="12" spans="1:77">
      <c r="E12" s="282" t="str">
        <f xml:space="preserve"> 'FinStat Act'!E$11</f>
        <v>Total Revenue Actuals</v>
      </c>
      <c r="F12" s="282">
        <f xml:space="preserve"> 'FinStat Act'!F$11</f>
        <v>0</v>
      </c>
      <c r="G12" s="282" t="str">
        <f xml:space="preserve"> 'FinStat Act'!G$11</f>
        <v>Kes '000'</v>
      </c>
      <c r="H12" s="282">
        <f xml:space="preserve"> 'FinStat Act'!H$11</f>
        <v>94547834</v>
      </c>
      <c r="I12" s="282">
        <f xml:space="preserve"> 'FinStat Act'!I$11</f>
        <v>0</v>
      </c>
      <c r="J12" s="282">
        <f xml:space="preserve"> 'FinStat Act'!J$11</f>
        <v>10283369</v>
      </c>
      <c r="K12" s="282">
        <f xml:space="preserve"> 'FinStat Act'!K$11</f>
        <v>11094396</v>
      </c>
      <c r="L12" s="282">
        <f xml:space="preserve"> 'FinStat Act'!L$11</f>
        <v>13539233</v>
      </c>
      <c r="M12" s="282">
        <f xml:space="preserve"> 'FinStat Act'!M$11</f>
        <v>20603120</v>
      </c>
      <c r="N12" s="282">
        <f xml:space="preserve"> 'FinStat Act'!N$11</f>
        <v>19409000</v>
      </c>
      <c r="O12" s="282">
        <f xml:space="preserve"> 'FinStat Act'!O$11</f>
        <v>19618716</v>
      </c>
      <c r="P12" s="282">
        <f xml:space="preserve"> 'FinStat Act'!P$11</f>
        <v>0</v>
      </c>
      <c r="Q12" s="282">
        <f xml:space="preserve"> 'FinStat Act'!Q$11</f>
        <v>0</v>
      </c>
      <c r="R12" s="282">
        <f xml:space="preserve"> 'FinStat Act'!R$11</f>
        <v>0</v>
      </c>
      <c r="S12" s="282">
        <f xml:space="preserve"> 'FinStat Act'!S$11</f>
        <v>0</v>
      </c>
      <c r="T12" s="282">
        <f xml:space="preserve"> 'FinStat Act'!T$11</f>
        <v>0</v>
      </c>
      <c r="U12" s="282">
        <f xml:space="preserve"> 'FinStat Act'!U$11</f>
        <v>0</v>
      </c>
      <c r="V12" s="282">
        <f xml:space="preserve"> 'FinStat Act'!V$11</f>
        <v>0</v>
      </c>
      <c r="W12" s="282">
        <f xml:space="preserve"> 'FinStat Act'!W$11</f>
        <v>0</v>
      </c>
    </row>
    <row r="13" spans="1:77">
      <c r="E13" s="58" t="s">
        <v>187</v>
      </c>
      <c r="F13" s="2">
        <f>AVERAGE(J13:W13)</f>
        <v>0.53642145059257684</v>
      </c>
      <c r="G13" s="58" t="s">
        <v>179</v>
      </c>
      <c r="H13" s="2">
        <f>H11/H12</f>
        <v>-0.54111959878425142</v>
      </c>
      <c r="I13" s="2"/>
      <c r="J13" s="2">
        <f>IF(AND(J11&lt;&gt;0,J12&lt;&gt;0),ABS(J11/J12),"N/A")</f>
        <v>0.50011528323062215</v>
      </c>
      <c r="K13" s="2">
        <f t="shared" ref="K13:W13" si="0">IF(AND(K11&lt;&gt;0,K12&lt;&gt;0),ABS(K11/K12),"N/A")</f>
        <v>0.5116147828146751</v>
      </c>
      <c r="L13" s="2">
        <f t="shared" si="0"/>
        <v>0.55490418105663741</v>
      </c>
      <c r="M13" s="2">
        <f t="shared" si="0"/>
        <v>0.54948401018874815</v>
      </c>
      <c r="N13" s="2">
        <f t="shared" si="0"/>
        <v>0.56829455407285279</v>
      </c>
      <c r="O13" s="2">
        <f t="shared" si="0"/>
        <v>0.53411589219192535</v>
      </c>
      <c r="P13" s="2" t="str">
        <f t="shared" si="0"/>
        <v>N/A</v>
      </c>
      <c r="Q13" s="2" t="str">
        <f t="shared" si="0"/>
        <v>N/A</v>
      </c>
      <c r="R13" s="2" t="str">
        <f t="shared" si="0"/>
        <v>N/A</v>
      </c>
      <c r="S13" s="2" t="str">
        <f t="shared" si="0"/>
        <v>N/A</v>
      </c>
      <c r="T13" s="2" t="str">
        <f t="shared" si="0"/>
        <v>N/A</v>
      </c>
      <c r="U13" s="2" t="str">
        <f t="shared" si="0"/>
        <v>N/A</v>
      </c>
      <c r="V13" s="2" t="str">
        <f t="shared" si="0"/>
        <v>N/A</v>
      </c>
      <c r="W13" s="2" t="str">
        <f t="shared" si="0"/>
        <v>N/A</v>
      </c>
    </row>
    <row r="15" spans="1:77">
      <c r="C15" s="16" t="s">
        <v>189</v>
      </c>
    </row>
    <row r="17" spans="1:79">
      <c r="E17" s="103" t="str">
        <f xml:space="preserve"> InpS!E$31</f>
        <v>Forecast cost of sales margin -Best Case</v>
      </c>
      <c r="F17" s="103">
        <f xml:space="preserve"> InpS!F$31</f>
        <v>2</v>
      </c>
      <c r="G17" s="389">
        <f xml:space="preserve"> InpS!G$31</f>
        <v>0</v>
      </c>
      <c r="H17" s="389">
        <f xml:space="preserve"> InpS!H$31</f>
        <v>0</v>
      </c>
      <c r="I17" s="389"/>
      <c r="J17" s="389">
        <f xml:space="preserve"> InpS!J$31</f>
        <v>0</v>
      </c>
      <c r="K17" s="389">
        <f xml:space="preserve"> InpS!K$31</f>
        <v>0</v>
      </c>
      <c r="L17" s="389">
        <f xml:space="preserve"> InpS!L$31</f>
        <v>0</v>
      </c>
      <c r="M17" s="389">
        <f xml:space="preserve"> InpS!M$31</f>
        <v>0</v>
      </c>
      <c r="N17" s="389">
        <f xml:space="preserve"> InpS!N$31</f>
        <v>0</v>
      </c>
      <c r="O17" s="389">
        <f xml:space="preserve"> InpS!O$31</f>
        <v>0</v>
      </c>
      <c r="P17" s="389">
        <f xml:space="preserve"> InpS!P$31</f>
        <v>0.5</v>
      </c>
      <c r="Q17" s="389">
        <f xml:space="preserve"> InpS!Q$31</f>
        <v>0.5</v>
      </c>
      <c r="R17" s="389">
        <f xml:space="preserve"> InpS!R$31</f>
        <v>0.5</v>
      </c>
      <c r="S17" s="389">
        <f xml:space="preserve"> InpS!S$31</f>
        <v>0.5</v>
      </c>
      <c r="T17" s="389">
        <f xml:space="preserve"> InpS!T$31</f>
        <v>0.5</v>
      </c>
      <c r="U17" s="389">
        <f xml:space="preserve"> InpS!U$31</f>
        <v>0.5</v>
      </c>
      <c r="V17" s="290"/>
      <c r="W17" s="290"/>
    </row>
    <row r="19" spans="1:79">
      <c r="C19" s="16" t="s">
        <v>188</v>
      </c>
    </row>
    <row r="21" spans="1:79">
      <c r="E21" s="288" t="str">
        <f xml:space="preserve"> E$17</f>
        <v>Forecast cost of sales margin -Best Case</v>
      </c>
      <c r="F21" s="288">
        <f t="shared" ref="F21:W21" si="1" xml:space="preserve"> F$17</f>
        <v>2</v>
      </c>
      <c r="G21" s="288">
        <f t="shared" si="1"/>
        <v>0</v>
      </c>
      <c r="H21" s="288">
        <f t="shared" si="1"/>
        <v>0</v>
      </c>
      <c r="I21" s="288">
        <f t="shared" si="1"/>
        <v>0</v>
      </c>
      <c r="J21" s="288">
        <f t="shared" si="1"/>
        <v>0</v>
      </c>
      <c r="K21" s="288">
        <f t="shared" si="1"/>
        <v>0</v>
      </c>
      <c r="L21" s="288">
        <f t="shared" si="1"/>
        <v>0</v>
      </c>
      <c r="M21" s="288">
        <f t="shared" si="1"/>
        <v>0</v>
      </c>
      <c r="N21" s="288">
        <f t="shared" si="1"/>
        <v>0</v>
      </c>
      <c r="O21" s="288">
        <f t="shared" si="1"/>
        <v>0</v>
      </c>
      <c r="P21" s="288">
        <f t="shared" si="1"/>
        <v>0.5</v>
      </c>
      <c r="Q21" s="288">
        <f t="shared" si="1"/>
        <v>0.5</v>
      </c>
      <c r="R21" s="288">
        <f t="shared" si="1"/>
        <v>0.5</v>
      </c>
      <c r="S21" s="288">
        <f t="shared" si="1"/>
        <v>0.5</v>
      </c>
      <c r="T21" s="288">
        <f t="shared" si="1"/>
        <v>0.5</v>
      </c>
      <c r="U21" s="288">
        <f t="shared" si="1"/>
        <v>0.5</v>
      </c>
      <c r="V21" s="288">
        <f t="shared" si="1"/>
        <v>0</v>
      </c>
      <c r="W21" s="288">
        <f t="shared" si="1"/>
        <v>0</v>
      </c>
    </row>
    <row r="22" spans="1:79">
      <c r="E22" s="282" t="str">
        <f xml:space="preserve"> OpRev!E$47</f>
        <v>Forecast Total Sales</v>
      </c>
      <c r="F22" s="282">
        <f xml:space="preserve"> OpRev!F$47</f>
        <v>0</v>
      </c>
      <c r="G22" s="282" t="str">
        <f xml:space="preserve"> OpRev!G$47</f>
        <v>Kes '000'</v>
      </c>
      <c r="H22" s="282">
        <f xml:space="preserve"> OpRev!H$47</f>
        <v>217679364.62698284</v>
      </c>
      <c r="I22" s="282">
        <f xml:space="preserve"> OpRev!I$47</f>
        <v>0</v>
      </c>
      <c r="J22" s="282">
        <f xml:space="preserve"> OpRev!J$47</f>
        <v>0</v>
      </c>
      <c r="K22" s="282">
        <f xml:space="preserve"> OpRev!K$47</f>
        <v>0</v>
      </c>
      <c r="L22" s="282">
        <f xml:space="preserve"> OpRev!L$47</f>
        <v>0</v>
      </c>
      <c r="M22" s="282">
        <f xml:space="preserve"> OpRev!M$47</f>
        <v>0</v>
      </c>
      <c r="N22" s="282">
        <f xml:space="preserve"> OpRev!N$47</f>
        <v>0</v>
      </c>
      <c r="O22" s="282">
        <f xml:space="preserve"> OpRev!O$47</f>
        <v>0</v>
      </c>
      <c r="P22" s="282">
        <f xml:space="preserve"> OpRev!P$47</f>
        <v>23107238.549999997</v>
      </c>
      <c r="Q22" s="282">
        <f xml:space="preserve"> OpRev!Q$47</f>
        <v>27228182.512499996</v>
      </c>
      <c r="R22" s="282">
        <f xml:space="preserve"> OpRev!R$47</f>
        <v>32098239.705374997</v>
      </c>
      <c r="S22" s="282">
        <f xml:space="preserve"> OpRev!S$47</f>
        <v>37855971.440381244</v>
      </c>
      <c r="T22" s="282">
        <f xml:space="preserve"> OpRev!T$47</f>
        <v>44665962.09147843</v>
      </c>
      <c r="U22" s="282">
        <f xml:space="preserve"> OpRev!U$47</f>
        <v>52723770.327248193</v>
      </c>
      <c r="V22" s="282">
        <f xml:space="preserve"> OpRev!V$47</f>
        <v>0</v>
      </c>
      <c r="W22" s="282">
        <f xml:space="preserve"> OpRev!W$47</f>
        <v>0</v>
      </c>
    </row>
    <row r="23" spans="1:79">
      <c r="E23" s="58" t="s">
        <v>190</v>
      </c>
      <c r="G23" s="58" t="str">
        <f>smu</f>
        <v>Kes '000'</v>
      </c>
      <c r="H23" s="58">
        <f xml:space="preserve"> SUM(J23:W23)</f>
        <v>108839682.31349142</v>
      </c>
      <c r="J23" s="58">
        <f>J21*J22</f>
        <v>0</v>
      </c>
      <c r="K23" s="58">
        <f t="shared" ref="K23:W23" si="2">K21*K22</f>
        <v>0</v>
      </c>
      <c r="L23" s="58">
        <f t="shared" si="2"/>
        <v>0</v>
      </c>
      <c r="M23" s="58">
        <f t="shared" si="2"/>
        <v>0</v>
      </c>
      <c r="N23" s="58">
        <f t="shared" si="2"/>
        <v>0</v>
      </c>
      <c r="O23" s="58">
        <f t="shared" si="2"/>
        <v>0</v>
      </c>
      <c r="P23" s="58">
        <f t="shared" si="2"/>
        <v>11553619.274999999</v>
      </c>
      <c r="Q23" s="58">
        <f t="shared" si="2"/>
        <v>13614091.256249998</v>
      </c>
      <c r="R23" s="58">
        <f t="shared" si="2"/>
        <v>16049119.852687499</v>
      </c>
      <c r="S23" s="58">
        <f t="shared" si="2"/>
        <v>18927985.720190622</v>
      </c>
      <c r="T23" s="58">
        <f t="shared" si="2"/>
        <v>22332981.045739215</v>
      </c>
      <c r="U23" s="58">
        <f t="shared" si="2"/>
        <v>26361885.163624097</v>
      </c>
      <c r="V23" s="58">
        <f t="shared" si="2"/>
        <v>0</v>
      </c>
      <c r="W23" s="58">
        <f t="shared" si="2"/>
        <v>0</v>
      </c>
    </row>
    <row r="24" spans="1:79" s="141" customFormat="1">
      <c r="A24" s="138"/>
      <c r="B24" s="130"/>
      <c r="C24" s="139"/>
      <c r="D24" s="140"/>
      <c r="E24" s="141" t="str">
        <f xml:space="preserve"> LEFT(E23, LEN(E23) - 4)</f>
        <v>Forecast Cost of Sales</v>
      </c>
      <c r="G24" s="141" t="str">
        <f xml:space="preserve"> G23</f>
        <v>Kes '000'</v>
      </c>
      <c r="H24" s="141">
        <f>SUM(J24:CA24)</f>
        <v>-108839682.31349142</v>
      </c>
      <c r="J24" s="141">
        <f t="shared" ref="J24:BU24" si="3" xml:space="preserve"> -1 * J23</f>
        <v>0</v>
      </c>
      <c r="K24" s="141">
        <f t="shared" si="3"/>
        <v>0</v>
      </c>
      <c r="L24" s="141">
        <f t="shared" si="3"/>
        <v>0</v>
      </c>
      <c r="M24" s="141">
        <f t="shared" si="3"/>
        <v>0</v>
      </c>
      <c r="N24" s="141">
        <f t="shared" si="3"/>
        <v>0</v>
      </c>
      <c r="O24" s="141">
        <f t="shared" si="3"/>
        <v>0</v>
      </c>
      <c r="P24" s="141">
        <f t="shared" si="3"/>
        <v>-11553619.274999999</v>
      </c>
      <c r="Q24" s="141">
        <f t="shared" si="3"/>
        <v>-13614091.256249998</v>
      </c>
      <c r="R24" s="141">
        <f t="shared" si="3"/>
        <v>-16049119.852687499</v>
      </c>
      <c r="S24" s="141">
        <f t="shared" si="3"/>
        <v>-18927985.720190622</v>
      </c>
      <c r="T24" s="141">
        <f t="shared" si="3"/>
        <v>-22332981.045739215</v>
      </c>
      <c r="U24" s="141">
        <f t="shared" si="3"/>
        <v>-26361885.163624097</v>
      </c>
      <c r="V24" s="141">
        <f t="shared" si="3"/>
        <v>0</v>
      </c>
      <c r="W24" s="141">
        <f t="shared" si="3"/>
        <v>0</v>
      </c>
      <c r="X24" s="141">
        <f t="shared" si="3"/>
        <v>0</v>
      </c>
      <c r="Y24" s="141">
        <f t="shared" si="3"/>
        <v>0</v>
      </c>
      <c r="Z24" s="141">
        <f t="shared" si="3"/>
        <v>0</v>
      </c>
      <c r="AA24" s="141">
        <f t="shared" si="3"/>
        <v>0</v>
      </c>
      <c r="AB24" s="141">
        <f t="shared" si="3"/>
        <v>0</v>
      </c>
      <c r="AC24" s="141">
        <f t="shared" si="3"/>
        <v>0</v>
      </c>
      <c r="AD24" s="141">
        <f t="shared" si="3"/>
        <v>0</v>
      </c>
      <c r="AE24" s="141">
        <f t="shared" si="3"/>
        <v>0</v>
      </c>
      <c r="AF24" s="141">
        <f t="shared" si="3"/>
        <v>0</v>
      </c>
      <c r="AG24" s="141">
        <f t="shared" si="3"/>
        <v>0</v>
      </c>
      <c r="AH24" s="141">
        <f t="shared" si="3"/>
        <v>0</v>
      </c>
      <c r="AI24" s="141">
        <f t="shared" si="3"/>
        <v>0</v>
      </c>
      <c r="AJ24" s="141">
        <f t="shared" si="3"/>
        <v>0</v>
      </c>
      <c r="AK24" s="141">
        <f t="shared" si="3"/>
        <v>0</v>
      </c>
      <c r="AL24" s="141">
        <f t="shared" si="3"/>
        <v>0</v>
      </c>
      <c r="AM24" s="141">
        <f t="shared" si="3"/>
        <v>0</v>
      </c>
      <c r="AN24" s="141">
        <f t="shared" si="3"/>
        <v>0</v>
      </c>
      <c r="AO24" s="141">
        <f t="shared" si="3"/>
        <v>0</v>
      </c>
      <c r="AP24" s="141">
        <f t="shared" si="3"/>
        <v>0</v>
      </c>
      <c r="AQ24" s="141">
        <f t="shared" si="3"/>
        <v>0</v>
      </c>
      <c r="AR24" s="141">
        <f t="shared" si="3"/>
        <v>0</v>
      </c>
      <c r="AS24" s="141">
        <f t="shared" si="3"/>
        <v>0</v>
      </c>
      <c r="AT24" s="141">
        <f t="shared" si="3"/>
        <v>0</v>
      </c>
      <c r="AU24" s="141">
        <f t="shared" si="3"/>
        <v>0</v>
      </c>
      <c r="AV24" s="141">
        <f t="shared" si="3"/>
        <v>0</v>
      </c>
      <c r="AW24" s="141">
        <f t="shared" si="3"/>
        <v>0</v>
      </c>
      <c r="AX24" s="141">
        <f t="shared" si="3"/>
        <v>0</v>
      </c>
      <c r="AY24" s="141">
        <f t="shared" si="3"/>
        <v>0</v>
      </c>
      <c r="AZ24" s="141">
        <f t="shared" si="3"/>
        <v>0</v>
      </c>
      <c r="BA24" s="141">
        <f t="shared" si="3"/>
        <v>0</v>
      </c>
      <c r="BB24" s="141">
        <f t="shared" si="3"/>
        <v>0</v>
      </c>
      <c r="BC24" s="141">
        <f t="shared" si="3"/>
        <v>0</v>
      </c>
      <c r="BD24" s="141">
        <f t="shared" si="3"/>
        <v>0</v>
      </c>
      <c r="BE24" s="141">
        <f t="shared" si="3"/>
        <v>0</v>
      </c>
      <c r="BF24" s="141">
        <f t="shared" si="3"/>
        <v>0</v>
      </c>
      <c r="BG24" s="141">
        <f t="shared" si="3"/>
        <v>0</v>
      </c>
      <c r="BH24" s="141">
        <f t="shared" si="3"/>
        <v>0</v>
      </c>
      <c r="BI24" s="141">
        <f t="shared" si="3"/>
        <v>0</v>
      </c>
      <c r="BJ24" s="141">
        <f t="shared" si="3"/>
        <v>0</v>
      </c>
      <c r="BK24" s="141">
        <f t="shared" si="3"/>
        <v>0</v>
      </c>
      <c r="BL24" s="141">
        <f t="shared" si="3"/>
        <v>0</v>
      </c>
      <c r="BM24" s="141">
        <f t="shared" si="3"/>
        <v>0</v>
      </c>
      <c r="BN24" s="141">
        <f t="shared" si="3"/>
        <v>0</v>
      </c>
      <c r="BO24" s="141">
        <f t="shared" si="3"/>
        <v>0</v>
      </c>
      <c r="BP24" s="141">
        <f t="shared" si="3"/>
        <v>0</v>
      </c>
      <c r="BQ24" s="141">
        <f t="shared" si="3"/>
        <v>0</v>
      </c>
      <c r="BR24" s="141">
        <f t="shared" si="3"/>
        <v>0</v>
      </c>
      <c r="BS24" s="141">
        <f t="shared" si="3"/>
        <v>0</v>
      </c>
      <c r="BT24" s="141">
        <f t="shared" si="3"/>
        <v>0</v>
      </c>
      <c r="BU24" s="141">
        <f t="shared" si="3"/>
        <v>0</v>
      </c>
      <c r="BV24" s="141">
        <f t="shared" ref="BV24:CA24" si="4" xml:space="preserve"> -1 * BV23</f>
        <v>0</v>
      </c>
      <c r="BW24" s="141">
        <f t="shared" si="4"/>
        <v>0</v>
      </c>
      <c r="BX24" s="141">
        <f t="shared" si="4"/>
        <v>0</v>
      </c>
      <c r="BY24" s="141">
        <f t="shared" si="4"/>
        <v>0</v>
      </c>
      <c r="BZ24" s="141">
        <f t="shared" si="4"/>
        <v>0</v>
      </c>
      <c r="CA24" s="141">
        <f t="shared" si="4"/>
        <v>0</v>
      </c>
    </row>
    <row r="25" spans="1:79">
      <c r="F25" s="3"/>
    </row>
    <row r="26" spans="1:79" s="134" customFormat="1">
      <c r="A26" s="130"/>
      <c r="B26" s="4" t="s">
        <v>240</v>
      </c>
      <c r="C26" s="132"/>
      <c r="D26" s="133"/>
    </row>
    <row r="27" spans="1:79">
      <c r="B27" s="58"/>
    </row>
    <row r="28" spans="1:79">
      <c r="C28" s="16" t="s">
        <v>241</v>
      </c>
    </row>
    <row r="30" spans="1:79">
      <c r="E30" s="282" t="str">
        <f xml:space="preserve"> FinStat!E$16</f>
        <v xml:space="preserve">Marketing and distribution costs  </v>
      </c>
      <c r="F30" s="282">
        <f xml:space="preserve"> FinStat!F$16</f>
        <v>0</v>
      </c>
      <c r="G30" s="282" t="str">
        <f xml:space="preserve"> FinStat!G$16</f>
        <v>Kes '000'</v>
      </c>
      <c r="H30" s="282">
        <f xml:space="preserve"> FinStat!H$16</f>
        <v>-26667118.993293546</v>
      </c>
      <c r="I30" s="282">
        <f xml:space="preserve"> FinStat!I$16</f>
        <v>0</v>
      </c>
      <c r="J30" s="282">
        <f xml:space="preserve"> FinStat!J$16</f>
        <v>-688703</v>
      </c>
      <c r="K30" s="282">
        <f xml:space="preserve"> FinStat!K$16</f>
        <v>-632009</v>
      </c>
      <c r="L30" s="282">
        <f xml:space="preserve"> FinStat!L$16</f>
        <v>-1448860</v>
      </c>
      <c r="M30" s="282">
        <f xml:space="preserve"> FinStat!M$16</f>
        <v>-1718330</v>
      </c>
      <c r="N30" s="282">
        <f xml:space="preserve"> FinStat!N$16</f>
        <v>-1894730</v>
      </c>
      <c r="O30" s="282">
        <f xml:space="preserve"> FinStat!O$16</f>
        <v>-1781741</v>
      </c>
      <c r="P30" s="282">
        <f xml:space="preserve"> FinStat!P$16</f>
        <v>-1964115.27675</v>
      </c>
      <c r="Q30" s="282">
        <f xml:space="preserve"> FinStat!Q$16</f>
        <v>-2314395.5135625</v>
      </c>
      <c r="R30" s="282">
        <f xml:space="preserve"> FinStat!R$16</f>
        <v>-2728350.3749568751</v>
      </c>
      <c r="S30" s="282">
        <f xml:space="preserve"> FinStat!S$16</f>
        <v>-3217757.5724324058</v>
      </c>
      <c r="T30" s="282">
        <f xml:space="preserve"> FinStat!T$16</f>
        <v>-3796606.7777756667</v>
      </c>
      <c r="U30" s="282">
        <f xml:space="preserve"> FinStat!U$16</f>
        <v>-4481520.4778160965</v>
      </c>
      <c r="V30" s="282">
        <f xml:space="preserve"> FinStat!V$16</f>
        <v>0</v>
      </c>
      <c r="W30" s="282">
        <f xml:space="preserve"> FinStat!W$16</f>
        <v>0</v>
      </c>
    </row>
    <row r="31" spans="1:79">
      <c r="E31" s="282" t="str">
        <f xml:space="preserve"> 'FinStat Act'!E$11</f>
        <v>Total Revenue Actuals</v>
      </c>
      <c r="F31" s="282">
        <f xml:space="preserve"> 'FinStat Act'!F$11</f>
        <v>0</v>
      </c>
      <c r="G31" s="282" t="str">
        <f xml:space="preserve"> 'FinStat Act'!G$11</f>
        <v>Kes '000'</v>
      </c>
      <c r="H31" s="282">
        <f xml:space="preserve"> 'FinStat Act'!H$11</f>
        <v>94547834</v>
      </c>
      <c r="I31" s="282">
        <f xml:space="preserve"> 'FinStat Act'!I$11</f>
        <v>0</v>
      </c>
      <c r="J31" s="282">
        <f xml:space="preserve"> 'FinStat Act'!J$11</f>
        <v>10283369</v>
      </c>
      <c r="K31" s="282">
        <f xml:space="preserve"> 'FinStat Act'!K$11</f>
        <v>11094396</v>
      </c>
      <c r="L31" s="282">
        <f xml:space="preserve"> 'FinStat Act'!L$11</f>
        <v>13539233</v>
      </c>
      <c r="M31" s="282">
        <f xml:space="preserve"> 'FinStat Act'!M$11</f>
        <v>20603120</v>
      </c>
      <c r="N31" s="282">
        <f xml:space="preserve"> 'FinStat Act'!N$11</f>
        <v>19409000</v>
      </c>
      <c r="O31" s="282">
        <f xml:space="preserve"> 'FinStat Act'!O$11</f>
        <v>19618716</v>
      </c>
      <c r="P31" s="282">
        <f xml:space="preserve"> 'FinStat Act'!P$11</f>
        <v>0</v>
      </c>
      <c r="Q31" s="282">
        <f xml:space="preserve"> 'FinStat Act'!Q$11</f>
        <v>0</v>
      </c>
      <c r="R31" s="282">
        <f xml:space="preserve"> 'FinStat Act'!R$11</f>
        <v>0</v>
      </c>
      <c r="S31" s="282">
        <f xml:space="preserve"> 'FinStat Act'!S$11</f>
        <v>0</v>
      </c>
      <c r="T31" s="282">
        <f xml:space="preserve"> 'FinStat Act'!T$11</f>
        <v>0</v>
      </c>
      <c r="U31" s="282">
        <f xml:space="preserve"> 'FinStat Act'!U$11</f>
        <v>0</v>
      </c>
      <c r="V31" s="282">
        <f xml:space="preserve"> 'FinStat Act'!V$11</f>
        <v>0</v>
      </c>
      <c r="W31" s="282">
        <f xml:space="preserve"> 'FinStat Act'!W$11</f>
        <v>0</v>
      </c>
    </row>
    <row r="32" spans="1:79">
      <c r="E32" s="58" t="s">
        <v>241</v>
      </c>
      <c r="F32" s="2">
        <f>AVERAGE(J32:W32)</f>
        <v>8.3798678101824328E-2</v>
      </c>
      <c r="G32" s="58" t="s">
        <v>179</v>
      </c>
      <c r="H32" s="2">
        <f>H30/H31</f>
        <v>-0.28204896786206174</v>
      </c>
      <c r="I32" s="2"/>
      <c r="J32" s="2">
        <f>IF(AND(J30&lt;&gt;0,J31&lt;&gt;0),ABS(J30/J31),"N/A")</f>
        <v>6.6972506772829024E-2</v>
      </c>
      <c r="K32" s="2">
        <f t="shared" ref="K32:W32" si="5">IF(AND(K30&lt;&gt;0,K31&lt;&gt;0),ABS(K30/K31),"N/A")</f>
        <v>5.696650813617974E-2</v>
      </c>
      <c r="L32" s="2">
        <f t="shared" si="5"/>
        <v>0.10701197032357741</v>
      </c>
      <c r="M32" s="2">
        <f t="shared" si="5"/>
        <v>8.3401445994587223E-2</v>
      </c>
      <c r="N32" s="2">
        <f t="shared" si="5"/>
        <v>9.762120665670565E-2</v>
      </c>
      <c r="O32" s="2">
        <f t="shared" si="5"/>
        <v>9.0818430727066954E-2</v>
      </c>
      <c r="P32" s="2" t="str">
        <f t="shared" si="5"/>
        <v>N/A</v>
      </c>
      <c r="Q32" s="2" t="str">
        <f t="shared" si="5"/>
        <v>N/A</v>
      </c>
      <c r="R32" s="2" t="str">
        <f t="shared" si="5"/>
        <v>N/A</v>
      </c>
      <c r="S32" s="2" t="str">
        <f t="shared" si="5"/>
        <v>N/A</v>
      </c>
      <c r="T32" s="2" t="str">
        <f t="shared" si="5"/>
        <v>N/A</v>
      </c>
      <c r="U32" s="2" t="str">
        <f t="shared" si="5"/>
        <v>N/A</v>
      </c>
      <c r="V32" s="2" t="str">
        <f t="shared" si="5"/>
        <v>N/A</v>
      </c>
      <c r="W32" s="2" t="str">
        <f t="shared" si="5"/>
        <v>N/A</v>
      </c>
    </row>
    <row r="34" spans="1:79">
      <c r="C34" s="16" t="s">
        <v>242</v>
      </c>
    </row>
    <row r="36" spans="1:79">
      <c r="E36" s="357" t="str">
        <f xml:space="preserve"> InpS!E$35</f>
        <v>Forecast Marketing and Distribution Cost margin</v>
      </c>
      <c r="F36" s="357">
        <f xml:space="preserve"> InpS!F$35</f>
        <v>0</v>
      </c>
      <c r="G36" s="357" t="str">
        <f xml:space="preserve"> InpS!G$35</f>
        <v>%</v>
      </c>
      <c r="H36" s="357">
        <f xml:space="preserve"> InpS!H$35</f>
        <v>0</v>
      </c>
      <c r="I36" s="357">
        <f xml:space="preserve"> InpS!I$35</f>
        <v>0</v>
      </c>
      <c r="J36" s="357">
        <f xml:space="preserve"> InpS!J$35</f>
        <v>0</v>
      </c>
      <c r="K36" s="357">
        <f xml:space="preserve"> InpS!K$35</f>
        <v>0</v>
      </c>
      <c r="L36" s="357">
        <f xml:space="preserve"> InpS!L$35</f>
        <v>0</v>
      </c>
      <c r="M36" s="357">
        <f xml:space="preserve"> InpS!M$35</f>
        <v>0</v>
      </c>
      <c r="N36" s="357">
        <f xml:space="preserve"> InpS!N$35</f>
        <v>0</v>
      </c>
      <c r="O36" s="357">
        <f xml:space="preserve"> InpS!O$35</f>
        <v>0</v>
      </c>
      <c r="P36" s="357">
        <f xml:space="preserve"> InpS!P$35</f>
        <v>8.5000000000000006E-2</v>
      </c>
      <c r="Q36" s="357">
        <f xml:space="preserve"> InpS!Q$35</f>
        <v>8.5000000000000006E-2</v>
      </c>
      <c r="R36" s="357">
        <f xml:space="preserve"> InpS!R$35</f>
        <v>8.5000000000000006E-2</v>
      </c>
      <c r="S36" s="357">
        <f xml:space="preserve"> InpS!S$35</f>
        <v>8.5000000000000006E-2</v>
      </c>
      <c r="T36" s="357">
        <f xml:space="preserve"> InpS!T$35</f>
        <v>8.5000000000000006E-2</v>
      </c>
      <c r="U36" s="357">
        <f xml:space="preserve"> InpS!U$35</f>
        <v>8.5000000000000006E-2</v>
      </c>
      <c r="V36" s="290"/>
      <c r="W36" s="290"/>
    </row>
    <row r="38" spans="1:79">
      <c r="C38" s="16" t="s">
        <v>240</v>
      </c>
    </row>
    <row r="40" spans="1:79">
      <c r="E40" s="288" t="str">
        <f xml:space="preserve"> $E36</f>
        <v>Forecast Marketing and Distribution Cost margin</v>
      </c>
      <c r="F40" s="288">
        <f t="shared" ref="F40:O40" si="6" xml:space="preserve"> F$17</f>
        <v>2</v>
      </c>
      <c r="G40" s="288">
        <f t="shared" si="6"/>
        <v>0</v>
      </c>
      <c r="H40" s="288">
        <f t="shared" si="6"/>
        <v>0</v>
      </c>
      <c r="I40" s="288">
        <f t="shared" si="6"/>
        <v>0</v>
      </c>
      <c r="J40" s="288">
        <f t="shared" si="6"/>
        <v>0</v>
      </c>
      <c r="K40" s="288">
        <f t="shared" si="6"/>
        <v>0</v>
      </c>
      <c r="L40" s="288">
        <f t="shared" si="6"/>
        <v>0</v>
      </c>
      <c r="M40" s="288">
        <f t="shared" si="6"/>
        <v>0</v>
      </c>
      <c r="N40" s="288">
        <f t="shared" si="6"/>
        <v>0</v>
      </c>
      <c r="O40" s="288">
        <f t="shared" si="6"/>
        <v>0</v>
      </c>
      <c r="P40" s="288">
        <f xml:space="preserve"> P$36</f>
        <v>8.5000000000000006E-2</v>
      </c>
      <c r="Q40" s="288">
        <f t="shared" ref="Q40:W40" si="7" xml:space="preserve"> Q$36</f>
        <v>8.5000000000000006E-2</v>
      </c>
      <c r="R40" s="288">
        <f t="shared" si="7"/>
        <v>8.5000000000000006E-2</v>
      </c>
      <c r="S40" s="288">
        <f t="shared" si="7"/>
        <v>8.5000000000000006E-2</v>
      </c>
      <c r="T40" s="288">
        <f t="shared" si="7"/>
        <v>8.5000000000000006E-2</v>
      </c>
      <c r="U40" s="288">
        <f t="shared" si="7"/>
        <v>8.5000000000000006E-2</v>
      </c>
      <c r="V40" s="288">
        <f t="shared" si="7"/>
        <v>0</v>
      </c>
      <c r="W40" s="288">
        <f t="shared" si="7"/>
        <v>0</v>
      </c>
    </row>
    <row r="41" spans="1:79">
      <c r="E41" s="282" t="str">
        <f xml:space="preserve"> OpRev!E$47</f>
        <v>Forecast Total Sales</v>
      </c>
      <c r="F41" s="282">
        <f xml:space="preserve"> OpRev!F$47</f>
        <v>0</v>
      </c>
      <c r="G41" s="282" t="str">
        <f xml:space="preserve"> OpRev!G$47</f>
        <v>Kes '000'</v>
      </c>
      <c r="H41" s="282">
        <f xml:space="preserve"> OpRev!H$47</f>
        <v>217679364.62698284</v>
      </c>
      <c r="I41" s="282">
        <f xml:space="preserve"> OpRev!I$47</f>
        <v>0</v>
      </c>
      <c r="J41" s="282">
        <f xml:space="preserve"> OpRev!J$47</f>
        <v>0</v>
      </c>
      <c r="K41" s="282">
        <f xml:space="preserve"> OpRev!K$47</f>
        <v>0</v>
      </c>
      <c r="L41" s="282">
        <f xml:space="preserve"> OpRev!L$47</f>
        <v>0</v>
      </c>
      <c r="M41" s="282">
        <f xml:space="preserve"> OpRev!M$47</f>
        <v>0</v>
      </c>
      <c r="N41" s="282">
        <f xml:space="preserve"> OpRev!N$47</f>
        <v>0</v>
      </c>
      <c r="O41" s="282">
        <f xml:space="preserve"> OpRev!O$47</f>
        <v>0</v>
      </c>
      <c r="P41" s="282">
        <f xml:space="preserve"> OpRev!P$47</f>
        <v>23107238.549999997</v>
      </c>
      <c r="Q41" s="282">
        <f xml:space="preserve"> OpRev!Q$47</f>
        <v>27228182.512499996</v>
      </c>
      <c r="R41" s="282">
        <f xml:space="preserve"> OpRev!R$47</f>
        <v>32098239.705374997</v>
      </c>
      <c r="S41" s="282">
        <f xml:space="preserve"> OpRev!S$47</f>
        <v>37855971.440381244</v>
      </c>
      <c r="T41" s="282">
        <f xml:space="preserve"> OpRev!T$47</f>
        <v>44665962.09147843</v>
      </c>
      <c r="U41" s="282">
        <f xml:space="preserve"> OpRev!U$47</f>
        <v>52723770.327248193</v>
      </c>
      <c r="V41" s="282">
        <f xml:space="preserve"> OpRev!V$47</f>
        <v>0</v>
      </c>
      <c r="W41" s="282">
        <f xml:space="preserve"> OpRev!W$47</f>
        <v>0</v>
      </c>
    </row>
    <row r="42" spans="1:79">
      <c r="E42" s="58" t="s">
        <v>243</v>
      </c>
      <c r="G42" s="58" t="str">
        <f>smu</f>
        <v>Kes '000'</v>
      </c>
      <c r="H42" s="58">
        <f xml:space="preserve"> SUM(J42:W42)</f>
        <v>18502745.993293546</v>
      </c>
      <c r="J42" s="58">
        <f>J40*J41</f>
        <v>0</v>
      </c>
      <c r="K42" s="58">
        <f t="shared" ref="K42:W42" si="8">K40*K41</f>
        <v>0</v>
      </c>
      <c r="L42" s="58">
        <f t="shared" si="8"/>
        <v>0</v>
      </c>
      <c r="M42" s="58">
        <f t="shared" si="8"/>
        <v>0</v>
      </c>
      <c r="N42" s="58">
        <f t="shared" si="8"/>
        <v>0</v>
      </c>
      <c r="O42" s="58">
        <f t="shared" si="8"/>
        <v>0</v>
      </c>
      <c r="P42" s="58">
        <f t="shared" si="8"/>
        <v>1964115.27675</v>
      </c>
      <c r="Q42" s="58">
        <f t="shared" si="8"/>
        <v>2314395.5135625</v>
      </c>
      <c r="R42" s="58">
        <f t="shared" si="8"/>
        <v>2728350.3749568751</v>
      </c>
      <c r="S42" s="58">
        <f t="shared" si="8"/>
        <v>3217757.5724324058</v>
      </c>
      <c r="T42" s="58">
        <f t="shared" si="8"/>
        <v>3796606.7777756667</v>
      </c>
      <c r="U42" s="58">
        <f t="shared" si="8"/>
        <v>4481520.4778160965</v>
      </c>
      <c r="V42" s="58">
        <f t="shared" si="8"/>
        <v>0</v>
      </c>
      <c r="W42" s="58">
        <f t="shared" si="8"/>
        <v>0</v>
      </c>
    </row>
    <row r="43" spans="1:79" s="141" customFormat="1">
      <c r="A43" s="138"/>
      <c r="B43" s="130"/>
      <c r="C43" s="139"/>
      <c r="D43" s="140"/>
      <c r="E43" s="141" t="str">
        <f xml:space="preserve"> LEFT(E42, LEN(E42) - 4)</f>
        <v>Forecast Marketing and Distribution Cost</v>
      </c>
      <c r="G43" s="141" t="str">
        <f xml:space="preserve"> G42</f>
        <v>Kes '000'</v>
      </c>
      <c r="H43" s="141">
        <f>SUM(J43:CA43)</f>
        <v>-18502745.993293546</v>
      </c>
      <c r="J43" s="141">
        <f t="shared" ref="J43:BU43" si="9" xml:space="preserve"> -1 * J42</f>
        <v>0</v>
      </c>
      <c r="K43" s="141">
        <f t="shared" si="9"/>
        <v>0</v>
      </c>
      <c r="L43" s="141">
        <f t="shared" si="9"/>
        <v>0</v>
      </c>
      <c r="M43" s="141">
        <f t="shared" si="9"/>
        <v>0</v>
      </c>
      <c r="N43" s="141">
        <f t="shared" si="9"/>
        <v>0</v>
      </c>
      <c r="O43" s="141">
        <f t="shared" si="9"/>
        <v>0</v>
      </c>
      <c r="P43" s="141">
        <f t="shared" si="9"/>
        <v>-1964115.27675</v>
      </c>
      <c r="Q43" s="141">
        <f t="shared" si="9"/>
        <v>-2314395.5135625</v>
      </c>
      <c r="R43" s="141">
        <f t="shared" si="9"/>
        <v>-2728350.3749568751</v>
      </c>
      <c r="S43" s="141">
        <f t="shared" si="9"/>
        <v>-3217757.5724324058</v>
      </c>
      <c r="T43" s="141">
        <f t="shared" si="9"/>
        <v>-3796606.7777756667</v>
      </c>
      <c r="U43" s="141">
        <f t="shared" si="9"/>
        <v>-4481520.4778160965</v>
      </c>
      <c r="V43" s="141">
        <f t="shared" si="9"/>
        <v>0</v>
      </c>
      <c r="W43" s="141">
        <f t="shared" si="9"/>
        <v>0</v>
      </c>
      <c r="X43" s="141">
        <f t="shared" si="9"/>
        <v>0</v>
      </c>
      <c r="Y43" s="141">
        <f t="shared" si="9"/>
        <v>0</v>
      </c>
      <c r="Z43" s="141">
        <f t="shared" si="9"/>
        <v>0</v>
      </c>
      <c r="AA43" s="141">
        <f t="shared" si="9"/>
        <v>0</v>
      </c>
      <c r="AB43" s="141">
        <f t="shared" si="9"/>
        <v>0</v>
      </c>
      <c r="AC43" s="141">
        <f t="shared" si="9"/>
        <v>0</v>
      </c>
      <c r="AD43" s="141">
        <f t="shared" si="9"/>
        <v>0</v>
      </c>
      <c r="AE43" s="141">
        <f t="shared" si="9"/>
        <v>0</v>
      </c>
      <c r="AF43" s="141">
        <f t="shared" si="9"/>
        <v>0</v>
      </c>
      <c r="AG43" s="141">
        <f t="shared" si="9"/>
        <v>0</v>
      </c>
      <c r="AH43" s="141">
        <f t="shared" si="9"/>
        <v>0</v>
      </c>
      <c r="AI43" s="141">
        <f t="shared" si="9"/>
        <v>0</v>
      </c>
      <c r="AJ43" s="141">
        <f t="shared" si="9"/>
        <v>0</v>
      </c>
      <c r="AK43" s="141">
        <f t="shared" si="9"/>
        <v>0</v>
      </c>
      <c r="AL43" s="141">
        <f t="shared" si="9"/>
        <v>0</v>
      </c>
      <c r="AM43" s="141">
        <f t="shared" si="9"/>
        <v>0</v>
      </c>
      <c r="AN43" s="141">
        <f t="shared" si="9"/>
        <v>0</v>
      </c>
      <c r="AO43" s="141">
        <f t="shared" si="9"/>
        <v>0</v>
      </c>
      <c r="AP43" s="141">
        <f t="shared" si="9"/>
        <v>0</v>
      </c>
      <c r="AQ43" s="141">
        <f t="shared" si="9"/>
        <v>0</v>
      </c>
      <c r="AR43" s="141">
        <f t="shared" si="9"/>
        <v>0</v>
      </c>
      <c r="AS43" s="141">
        <f t="shared" si="9"/>
        <v>0</v>
      </c>
      <c r="AT43" s="141">
        <f t="shared" si="9"/>
        <v>0</v>
      </c>
      <c r="AU43" s="141">
        <f t="shared" si="9"/>
        <v>0</v>
      </c>
      <c r="AV43" s="141">
        <f t="shared" si="9"/>
        <v>0</v>
      </c>
      <c r="AW43" s="141">
        <f t="shared" si="9"/>
        <v>0</v>
      </c>
      <c r="AX43" s="141">
        <f t="shared" si="9"/>
        <v>0</v>
      </c>
      <c r="AY43" s="141">
        <f t="shared" si="9"/>
        <v>0</v>
      </c>
      <c r="AZ43" s="141">
        <f t="shared" si="9"/>
        <v>0</v>
      </c>
      <c r="BA43" s="141">
        <f t="shared" si="9"/>
        <v>0</v>
      </c>
      <c r="BB43" s="141">
        <f t="shared" si="9"/>
        <v>0</v>
      </c>
      <c r="BC43" s="141">
        <f t="shared" si="9"/>
        <v>0</v>
      </c>
      <c r="BD43" s="141">
        <f t="shared" si="9"/>
        <v>0</v>
      </c>
      <c r="BE43" s="141">
        <f t="shared" si="9"/>
        <v>0</v>
      </c>
      <c r="BF43" s="141">
        <f t="shared" si="9"/>
        <v>0</v>
      </c>
      <c r="BG43" s="141">
        <f t="shared" si="9"/>
        <v>0</v>
      </c>
      <c r="BH43" s="141">
        <f t="shared" si="9"/>
        <v>0</v>
      </c>
      <c r="BI43" s="141">
        <f t="shared" si="9"/>
        <v>0</v>
      </c>
      <c r="BJ43" s="141">
        <f t="shared" si="9"/>
        <v>0</v>
      </c>
      <c r="BK43" s="141">
        <f t="shared" si="9"/>
        <v>0</v>
      </c>
      <c r="BL43" s="141">
        <f t="shared" si="9"/>
        <v>0</v>
      </c>
      <c r="BM43" s="141">
        <f t="shared" si="9"/>
        <v>0</v>
      </c>
      <c r="BN43" s="141">
        <f t="shared" si="9"/>
        <v>0</v>
      </c>
      <c r="BO43" s="141">
        <f t="shared" si="9"/>
        <v>0</v>
      </c>
      <c r="BP43" s="141">
        <f t="shared" si="9"/>
        <v>0</v>
      </c>
      <c r="BQ43" s="141">
        <f t="shared" si="9"/>
        <v>0</v>
      </c>
      <c r="BR43" s="141">
        <f t="shared" si="9"/>
        <v>0</v>
      </c>
      <c r="BS43" s="141">
        <f t="shared" si="9"/>
        <v>0</v>
      </c>
      <c r="BT43" s="141">
        <f t="shared" si="9"/>
        <v>0</v>
      </c>
      <c r="BU43" s="141">
        <f t="shared" si="9"/>
        <v>0</v>
      </c>
      <c r="BV43" s="141">
        <f t="shared" ref="BV43:CA43" si="10" xml:space="preserve"> -1 * BV42</f>
        <v>0</v>
      </c>
      <c r="BW43" s="141">
        <f t="shared" si="10"/>
        <v>0</v>
      </c>
      <c r="BX43" s="141">
        <f t="shared" si="10"/>
        <v>0</v>
      </c>
      <c r="BY43" s="141">
        <f t="shared" si="10"/>
        <v>0</v>
      </c>
      <c r="BZ43" s="141">
        <f t="shared" si="10"/>
        <v>0</v>
      </c>
      <c r="CA43" s="141">
        <f t="shared" si="10"/>
        <v>0</v>
      </c>
    </row>
    <row r="45" spans="1:79" s="134" customFormat="1">
      <c r="A45" s="130"/>
      <c r="B45" s="4" t="s">
        <v>244</v>
      </c>
      <c r="C45" s="132"/>
      <c r="D45" s="133"/>
    </row>
    <row r="46" spans="1:79">
      <c r="B46" s="58"/>
    </row>
    <row r="47" spans="1:79">
      <c r="C47" s="16" t="s">
        <v>245</v>
      </c>
    </row>
    <row r="49" spans="1:79">
      <c r="E49" s="282" t="str">
        <f xml:space="preserve"> FinStat!E$17</f>
        <v xml:space="preserve">Administrative and other operating expenses  </v>
      </c>
      <c r="F49" s="282">
        <f xml:space="preserve"> FinStat!F$17</f>
        <v>0</v>
      </c>
      <c r="G49" s="282" t="str">
        <f xml:space="preserve"> FinStat!G$17</f>
        <v>Kes '000'</v>
      </c>
      <c r="H49" s="282">
        <f xml:space="preserve"> FinStat!H$17</f>
        <v>-24325450.523888804</v>
      </c>
      <c r="I49" s="282">
        <f xml:space="preserve"> FinStat!I$17</f>
        <v>0</v>
      </c>
      <c r="J49" s="282">
        <f xml:space="preserve"> FinStat!J$17</f>
        <v>-1599369</v>
      </c>
      <c r="K49" s="282">
        <f xml:space="preserve"> FinStat!K$17</f>
        <v>-2202853</v>
      </c>
      <c r="L49" s="282">
        <f xml:space="preserve"> FinStat!L$17</f>
        <v>-1264683</v>
      </c>
      <c r="M49" s="282">
        <f xml:space="preserve"> FinStat!M$17</f>
        <v>-1722799</v>
      </c>
      <c r="N49" s="282">
        <f xml:space="preserve"> FinStat!N$17</f>
        <v>-834225</v>
      </c>
      <c r="O49" s="282">
        <f xml:space="preserve"> FinStat!O$17</f>
        <v>-1463966</v>
      </c>
      <c r="P49" s="282">
        <f xml:space="preserve"> FinStat!P$17</f>
        <v>-1617506.6984999999</v>
      </c>
      <c r="Q49" s="282">
        <f xml:space="preserve"> FinStat!Q$17</f>
        <v>-1905972.7758749998</v>
      </c>
      <c r="R49" s="282">
        <f xml:space="preserve"> FinStat!R$17</f>
        <v>-2246876.7793762502</v>
      </c>
      <c r="S49" s="282">
        <f xml:space="preserve"> FinStat!S$17</f>
        <v>-2649918.0008266876</v>
      </c>
      <c r="T49" s="282">
        <f xml:space="preserve"> FinStat!T$17</f>
        <v>-3126617.3464034903</v>
      </c>
      <c r="U49" s="282">
        <f xml:space="preserve"> FinStat!U$17</f>
        <v>-3690663.9229073739</v>
      </c>
      <c r="V49" s="282">
        <f xml:space="preserve"> FinStat!V$17</f>
        <v>0</v>
      </c>
      <c r="W49" s="282">
        <f xml:space="preserve"> FinStat!W$17</f>
        <v>0</v>
      </c>
    </row>
    <row r="50" spans="1:79">
      <c r="E50" s="282" t="str">
        <f xml:space="preserve"> 'FinStat Act'!E$11</f>
        <v>Total Revenue Actuals</v>
      </c>
      <c r="F50" s="282">
        <f xml:space="preserve"> 'FinStat Act'!F$11</f>
        <v>0</v>
      </c>
      <c r="G50" s="282" t="str">
        <f xml:space="preserve"> 'FinStat Act'!G$11</f>
        <v>Kes '000'</v>
      </c>
      <c r="H50" s="282">
        <f xml:space="preserve"> 'FinStat Act'!H$11</f>
        <v>94547834</v>
      </c>
      <c r="I50" s="282">
        <f xml:space="preserve"> 'FinStat Act'!I$11</f>
        <v>0</v>
      </c>
      <c r="J50" s="282">
        <f xml:space="preserve"> 'FinStat Act'!J$11</f>
        <v>10283369</v>
      </c>
      <c r="K50" s="282">
        <f xml:space="preserve"> 'FinStat Act'!K$11</f>
        <v>11094396</v>
      </c>
      <c r="L50" s="282">
        <f xml:space="preserve"> 'FinStat Act'!L$11</f>
        <v>13539233</v>
      </c>
      <c r="M50" s="282">
        <f xml:space="preserve"> 'FinStat Act'!M$11</f>
        <v>20603120</v>
      </c>
      <c r="N50" s="282">
        <f xml:space="preserve"> 'FinStat Act'!N$11</f>
        <v>19409000</v>
      </c>
      <c r="O50" s="282">
        <f xml:space="preserve"> 'FinStat Act'!O$11</f>
        <v>19618716</v>
      </c>
      <c r="P50" s="282">
        <f xml:space="preserve"> 'FinStat Act'!P$11</f>
        <v>0</v>
      </c>
      <c r="Q50" s="282">
        <f xml:space="preserve"> 'FinStat Act'!Q$11</f>
        <v>0</v>
      </c>
      <c r="R50" s="282">
        <f xml:space="preserve"> 'FinStat Act'!R$11</f>
        <v>0</v>
      </c>
      <c r="S50" s="282">
        <f xml:space="preserve"> 'FinStat Act'!S$11</f>
        <v>0</v>
      </c>
      <c r="T50" s="282">
        <f xml:space="preserve"> 'FinStat Act'!T$11</f>
        <v>0</v>
      </c>
      <c r="U50" s="282">
        <f xml:space="preserve"> 'FinStat Act'!U$11</f>
        <v>0</v>
      </c>
      <c r="V50" s="282">
        <f xml:space="preserve"> 'FinStat Act'!V$11</f>
        <v>0</v>
      </c>
      <c r="W50" s="282">
        <f xml:space="preserve"> 'FinStat Act'!W$11</f>
        <v>0</v>
      </c>
    </row>
    <row r="51" spans="1:79">
      <c r="E51" s="58" t="s">
        <v>245</v>
      </c>
      <c r="F51" s="2">
        <f>AVERAGE(J51:W51)</f>
        <v>0.10811908232606175</v>
      </c>
      <c r="G51" s="58" t="s">
        <v>179</v>
      </c>
      <c r="H51" s="2">
        <f>H49/H50</f>
        <v>-0.25728194390882403</v>
      </c>
      <c r="I51" s="2"/>
      <c r="J51" s="2">
        <f>IF(AND(J49&lt;&gt;0,J50&lt;&gt;0),ABS(J49/J50),"N/A")</f>
        <v>0.15552967125851461</v>
      </c>
      <c r="K51" s="2">
        <f t="shared" ref="K51:W51" si="11">IF(AND(K49&lt;&gt;0,K50&lt;&gt;0),ABS(K49/K50),"N/A")</f>
        <v>0.19855546890520223</v>
      </c>
      <c r="L51" s="2">
        <f t="shared" si="11"/>
        <v>9.3408762520003907E-2</v>
      </c>
      <c r="M51" s="2">
        <f t="shared" si="11"/>
        <v>8.3618354889939003E-2</v>
      </c>
      <c r="N51" s="2">
        <f t="shared" si="11"/>
        <v>4.2981348858776858E-2</v>
      </c>
      <c r="O51" s="2">
        <f t="shared" si="11"/>
        <v>7.4620887523933782E-2</v>
      </c>
      <c r="P51" s="2" t="str">
        <f t="shared" si="11"/>
        <v>N/A</v>
      </c>
      <c r="Q51" s="2" t="str">
        <f t="shared" si="11"/>
        <v>N/A</v>
      </c>
      <c r="R51" s="2" t="str">
        <f t="shared" si="11"/>
        <v>N/A</v>
      </c>
      <c r="S51" s="2" t="str">
        <f t="shared" si="11"/>
        <v>N/A</v>
      </c>
      <c r="T51" s="2" t="str">
        <f t="shared" si="11"/>
        <v>N/A</v>
      </c>
      <c r="U51" s="2" t="str">
        <f t="shared" si="11"/>
        <v>N/A</v>
      </c>
      <c r="V51" s="2" t="str">
        <f t="shared" si="11"/>
        <v>N/A</v>
      </c>
      <c r="W51" s="2" t="str">
        <f t="shared" si="11"/>
        <v>N/A</v>
      </c>
    </row>
    <row r="53" spans="1:79">
      <c r="C53" s="16" t="s">
        <v>246</v>
      </c>
    </row>
    <row r="55" spans="1:79">
      <c r="E55" s="357" t="str">
        <f xml:space="preserve"> InpS!E$36</f>
        <v>Forecast Administrative &amp; other operating expenses   margin</v>
      </c>
      <c r="F55" s="357">
        <f xml:space="preserve"> InpS!F$36</f>
        <v>0</v>
      </c>
      <c r="G55" s="357" t="str">
        <f xml:space="preserve"> InpS!G$36</f>
        <v>%</v>
      </c>
      <c r="H55" s="357">
        <f xml:space="preserve"> InpS!H$36</f>
        <v>0</v>
      </c>
      <c r="I55" s="357">
        <f xml:space="preserve"> InpS!I$36</f>
        <v>0</v>
      </c>
      <c r="J55" s="357">
        <f xml:space="preserve"> InpS!J$36</f>
        <v>0</v>
      </c>
      <c r="K55" s="357">
        <f xml:space="preserve"> InpS!K$36</f>
        <v>0</v>
      </c>
      <c r="L55" s="357">
        <f xml:space="preserve"> InpS!L$36</f>
        <v>0</v>
      </c>
      <c r="M55" s="357">
        <f xml:space="preserve"> InpS!M$36</f>
        <v>0</v>
      </c>
      <c r="N55" s="357">
        <f xml:space="preserve"> InpS!N$36</f>
        <v>0</v>
      </c>
      <c r="O55" s="357">
        <f xml:space="preserve"> InpS!O$36</f>
        <v>0</v>
      </c>
      <c r="P55" s="357">
        <f xml:space="preserve"> InpS!P$36</f>
        <v>7.0000000000000007E-2</v>
      </c>
      <c r="Q55" s="357">
        <f xml:space="preserve"> InpS!Q$36</f>
        <v>7.0000000000000007E-2</v>
      </c>
      <c r="R55" s="357">
        <f xml:space="preserve"> InpS!R$36</f>
        <v>7.0000000000000007E-2</v>
      </c>
      <c r="S55" s="357">
        <f xml:space="preserve"> InpS!S$36</f>
        <v>7.0000000000000007E-2</v>
      </c>
      <c r="T55" s="357">
        <f xml:space="preserve"> InpS!T$36</f>
        <v>7.0000000000000007E-2</v>
      </c>
      <c r="U55" s="357">
        <f xml:space="preserve"> InpS!U$36</f>
        <v>7.0000000000000007E-2</v>
      </c>
      <c r="V55" s="290"/>
      <c r="W55" s="290"/>
    </row>
    <row r="57" spans="1:79">
      <c r="C57" s="16" t="s">
        <v>244</v>
      </c>
    </row>
    <row r="59" spans="1:79">
      <c r="E59" s="288" t="str">
        <f xml:space="preserve"> $E55</f>
        <v>Forecast Administrative &amp; other operating expenses   margin</v>
      </c>
      <c r="F59" s="288">
        <f t="shared" ref="F59:O59" si="12" xml:space="preserve"> F$17</f>
        <v>2</v>
      </c>
      <c r="G59" s="288">
        <f t="shared" si="12"/>
        <v>0</v>
      </c>
      <c r="H59" s="288">
        <f t="shared" si="12"/>
        <v>0</v>
      </c>
      <c r="I59" s="288">
        <f t="shared" si="12"/>
        <v>0</v>
      </c>
      <c r="J59" s="288">
        <f t="shared" si="12"/>
        <v>0</v>
      </c>
      <c r="K59" s="288">
        <f t="shared" si="12"/>
        <v>0</v>
      </c>
      <c r="L59" s="288">
        <f t="shared" si="12"/>
        <v>0</v>
      </c>
      <c r="M59" s="288">
        <f t="shared" si="12"/>
        <v>0</v>
      </c>
      <c r="N59" s="288">
        <f t="shared" si="12"/>
        <v>0</v>
      </c>
      <c r="O59" s="288">
        <f t="shared" si="12"/>
        <v>0</v>
      </c>
      <c r="P59" s="288">
        <f xml:space="preserve"> P$55</f>
        <v>7.0000000000000007E-2</v>
      </c>
      <c r="Q59" s="288">
        <f t="shared" ref="Q59:W59" si="13" xml:space="preserve"> Q$55</f>
        <v>7.0000000000000007E-2</v>
      </c>
      <c r="R59" s="288">
        <f t="shared" si="13"/>
        <v>7.0000000000000007E-2</v>
      </c>
      <c r="S59" s="288">
        <f t="shared" si="13"/>
        <v>7.0000000000000007E-2</v>
      </c>
      <c r="T59" s="288">
        <f t="shared" si="13"/>
        <v>7.0000000000000007E-2</v>
      </c>
      <c r="U59" s="288">
        <f t="shared" si="13"/>
        <v>7.0000000000000007E-2</v>
      </c>
      <c r="V59" s="288">
        <f t="shared" si="13"/>
        <v>0</v>
      </c>
      <c r="W59" s="288">
        <f t="shared" si="13"/>
        <v>0</v>
      </c>
    </row>
    <row r="60" spans="1:79">
      <c r="E60" s="282" t="str">
        <f xml:space="preserve"> OpRev!E$47</f>
        <v>Forecast Total Sales</v>
      </c>
      <c r="F60" s="282">
        <f xml:space="preserve"> OpRev!F$47</f>
        <v>0</v>
      </c>
      <c r="G60" s="282" t="str">
        <f xml:space="preserve"> OpRev!G$47</f>
        <v>Kes '000'</v>
      </c>
      <c r="H60" s="282">
        <f xml:space="preserve"> OpRev!H$47</f>
        <v>217679364.62698284</v>
      </c>
      <c r="I60" s="282">
        <f xml:space="preserve"> OpRev!I$47</f>
        <v>0</v>
      </c>
      <c r="J60" s="282">
        <f xml:space="preserve"> OpRev!J$47</f>
        <v>0</v>
      </c>
      <c r="K60" s="282">
        <f xml:space="preserve"> OpRev!K$47</f>
        <v>0</v>
      </c>
      <c r="L60" s="282">
        <f xml:space="preserve"> OpRev!L$47</f>
        <v>0</v>
      </c>
      <c r="M60" s="282">
        <f xml:space="preserve"> OpRev!M$47</f>
        <v>0</v>
      </c>
      <c r="N60" s="282">
        <f xml:space="preserve"> OpRev!N$47</f>
        <v>0</v>
      </c>
      <c r="O60" s="282">
        <f xml:space="preserve"> OpRev!O$47</f>
        <v>0</v>
      </c>
      <c r="P60" s="282">
        <f xml:space="preserve"> OpRev!P$47</f>
        <v>23107238.549999997</v>
      </c>
      <c r="Q60" s="282">
        <f xml:space="preserve"> OpRev!Q$47</f>
        <v>27228182.512499996</v>
      </c>
      <c r="R60" s="282">
        <f xml:space="preserve"> OpRev!R$47</f>
        <v>32098239.705374997</v>
      </c>
      <c r="S60" s="282">
        <f xml:space="preserve"> OpRev!S$47</f>
        <v>37855971.440381244</v>
      </c>
      <c r="T60" s="282">
        <f xml:space="preserve"> OpRev!T$47</f>
        <v>44665962.09147843</v>
      </c>
      <c r="U60" s="282">
        <f xml:space="preserve"> OpRev!U$47</f>
        <v>52723770.327248193</v>
      </c>
      <c r="V60" s="282">
        <f xml:space="preserve"> OpRev!V$47</f>
        <v>0</v>
      </c>
      <c r="W60" s="282">
        <f xml:space="preserve"> OpRev!W$47</f>
        <v>0</v>
      </c>
    </row>
    <row r="61" spans="1:79">
      <c r="E61" s="58" t="s">
        <v>247</v>
      </c>
      <c r="G61" s="58" t="str">
        <f>smu</f>
        <v>Kes '000'</v>
      </c>
      <c r="H61" s="58">
        <f xml:space="preserve"> SUM(J61:W61)</f>
        <v>15237555.523888804</v>
      </c>
      <c r="J61" s="58">
        <f>J59*J60</f>
        <v>0</v>
      </c>
      <c r="K61" s="58">
        <f t="shared" ref="K61:W61" si="14">K59*K60</f>
        <v>0</v>
      </c>
      <c r="L61" s="58">
        <f t="shared" si="14"/>
        <v>0</v>
      </c>
      <c r="M61" s="58">
        <f t="shared" si="14"/>
        <v>0</v>
      </c>
      <c r="N61" s="58">
        <f t="shared" si="14"/>
        <v>0</v>
      </c>
      <c r="O61" s="58">
        <f t="shared" si="14"/>
        <v>0</v>
      </c>
      <c r="P61" s="58">
        <f t="shared" si="14"/>
        <v>1617506.6984999999</v>
      </c>
      <c r="Q61" s="58">
        <f t="shared" si="14"/>
        <v>1905972.7758749998</v>
      </c>
      <c r="R61" s="58">
        <f t="shared" si="14"/>
        <v>2246876.7793762502</v>
      </c>
      <c r="S61" s="58">
        <f t="shared" si="14"/>
        <v>2649918.0008266876</v>
      </c>
      <c r="T61" s="58">
        <f t="shared" si="14"/>
        <v>3126617.3464034903</v>
      </c>
      <c r="U61" s="58">
        <f t="shared" si="14"/>
        <v>3690663.9229073739</v>
      </c>
      <c r="V61" s="58">
        <f t="shared" si="14"/>
        <v>0</v>
      </c>
      <c r="W61" s="58">
        <f t="shared" si="14"/>
        <v>0</v>
      </c>
    </row>
    <row r="62" spans="1:79" s="141" customFormat="1">
      <c r="A62" s="138"/>
      <c r="B62" s="130"/>
      <c r="C62" s="139"/>
      <c r="D62" s="140"/>
      <c r="E62" s="141" t="str">
        <f xml:space="preserve"> LEFT(E61, LEN(E61) - 4)</f>
        <v xml:space="preserve">Forecast Administrative &amp; other operating expenses  </v>
      </c>
      <c r="G62" s="141" t="str">
        <f xml:space="preserve"> G61</f>
        <v>Kes '000'</v>
      </c>
      <c r="H62" s="141">
        <f>SUM(J62:CA62)</f>
        <v>-15237555.523888804</v>
      </c>
      <c r="J62" s="141">
        <f t="shared" ref="J62:BU62" si="15" xml:space="preserve"> -1 * J61</f>
        <v>0</v>
      </c>
      <c r="K62" s="141">
        <f t="shared" si="15"/>
        <v>0</v>
      </c>
      <c r="L62" s="141">
        <f t="shared" si="15"/>
        <v>0</v>
      </c>
      <c r="M62" s="141">
        <f t="shared" si="15"/>
        <v>0</v>
      </c>
      <c r="N62" s="141">
        <f t="shared" si="15"/>
        <v>0</v>
      </c>
      <c r="O62" s="141">
        <f t="shared" si="15"/>
        <v>0</v>
      </c>
      <c r="P62" s="141">
        <f t="shared" si="15"/>
        <v>-1617506.6984999999</v>
      </c>
      <c r="Q62" s="141">
        <f t="shared" si="15"/>
        <v>-1905972.7758749998</v>
      </c>
      <c r="R62" s="141">
        <f t="shared" si="15"/>
        <v>-2246876.7793762502</v>
      </c>
      <c r="S62" s="141">
        <f t="shared" si="15"/>
        <v>-2649918.0008266876</v>
      </c>
      <c r="T62" s="141">
        <f t="shared" si="15"/>
        <v>-3126617.3464034903</v>
      </c>
      <c r="U62" s="141">
        <f t="shared" si="15"/>
        <v>-3690663.9229073739</v>
      </c>
      <c r="V62" s="141">
        <f t="shared" si="15"/>
        <v>0</v>
      </c>
      <c r="W62" s="141">
        <f t="shared" si="15"/>
        <v>0</v>
      </c>
      <c r="X62" s="141">
        <f t="shared" si="15"/>
        <v>0</v>
      </c>
      <c r="Y62" s="141">
        <f t="shared" si="15"/>
        <v>0</v>
      </c>
      <c r="Z62" s="141">
        <f t="shared" si="15"/>
        <v>0</v>
      </c>
      <c r="AA62" s="141">
        <f t="shared" si="15"/>
        <v>0</v>
      </c>
      <c r="AB62" s="141">
        <f t="shared" si="15"/>
        <v>0</v>
      </c>
      <c r="AC62" s="141">
        <f t="shared" si="15"/>
        <v>0</v>
      </c>
      <c r="AD62" s="141">
        <f t="shared" si="15"/>
        <v>0</v>
      </c>
      <c r="AE62" s="141">
        <f t="shared" si="15"/>
        <v>0</v>
      </c>
      <c r="AF62" s="141">
        <f t="shared" si="15"/>
        <v>0</v>
      </c>
      <c r="AG62" s="141">
        <f t="shared" si="15"/>
        <v>0</v>
      </c>
      <c r="AH62" s="141">
        <f t="shared" si="15"/>
        <v>0</v>
      </c>
      <c r="AI62" s="141">
        <f t="shared" si="15"/>
        <v>0</v>
      </c>
      <c r="AJ62" s="141">
        <f t="shared" si="15"/>
        <v>0</v>
      </c>
      <c r="AK62" s="141">
        <f t="shared" si="15"/>
        <v>0</v>
      </c>
      <c r="AL62" s="141">
        <f t="shared" si="15"/>
        <v>0</v>
      </c>
      <c r="AM62" s="141">
        <f t="shared" si="15"/>
        <v>0</v>
      </c>
      <c r="AN62" s="141">
        <f t="shared" si="15"/>
        <v>0</v>
      </c>
      <c r="AO62" s="141">
        <f t="shared" si="15"/>
        <v>0</v>
      </c>
      <c r="AP62" s="141">
        <f t="shared" si="15"/>
        <v>0</v>
      </c>
      <c r="AQ62" s="141">
        <f t="shared" si="15"/>
        <v>0</v>
      </c>
      <c r="AR62" s="141">
        <f t="shared" si="15"/>
        <v>0</v>
      </c>
      <c r="AS62" s="141">
        <f t="shared" si="15"/>
        <v>0</v>
      </c>
      <c r="AT62" s="141">
        <f t="shared" si="15"/>
        <v>0</v>
      </c>
      <c r="AU62" s="141">
        <f t="shared" si="15"/>
        <v>0</v>
      </c>
      <c r="AV62" s="141">
        <f t="shared" si="15"/>
        <v>0</v>
      </c>
      <c r="AW62" s="141">
        <f t="shared" si="15"/>
        <v>0</v>
      </c>
      <c r="AX62" s="141">
        <f t="shared" si="15"/>
        <v>0</v>
      </c>
      <c r="AY62" s="141">
        <f t="shared" si="15"/>
        <v>0</v>
      </c>
      <c r="AZ62" s="141">
        <f t="shared" si="15"/>
        <v>0</v>
      </c>
      <c r="BA62" s="141">
        <f t="shared" si="15"/>
        <v>0</v>
      </c>
      <c r="BB62" s="141">
        <f t="shared" si="15"/>
        <v>0</v>
      </c>
      <c r="BC62" s="141">
        <f t="shared" si="15"/>
        <v>0</v>
      </c>
      <c r="BD62" s="141">
        <f t="shared" si="15"/>
        <v>0</v>
      </c>
      <c r="BE62" s="141">
        <f t="shared" si="15"/>
        <v>0</v>
      </c>
      <c r="BF62" s="141">
        <f t="shared" si="15"/>
        <v>0</v>
      </c>
      <c r="BG62" s="141">
        <f t="shared" si="15"/>
        <v>0</v>
      </c>
      <c r="BH62" s="141">
        <f t="shared" si="15"/>
        <v>0</v>
      </c>
      <c r="BI62" s="141">
        <f t="shared" si="15"/>
        <v>0</v>
      </c>
      <c r="BJ62" s="141">
        <f t="shared" si="15"/>
        <v>0</v>
      </c>
      <c r="BK62" s="141">
        <f t="shared" si="15"/>
        <v>0</v>
      </c>
      <c r="BL62" s="141">
        <f t="shared" si="15"/>
        <v>0</v>
      </c>
      <c r="BM62" s="141">
        <f t="shared" si="15"/>
        <v>0</v>
      </c>
      <c r="BN62" s="141">
        <f t="shared" si="15"/>
        <v>0</v>
      </c>
      <c r="BO62" s="141">
        <f t="shared" si="15"/>
        <v>0</v>
      </c>
      <c r="BP62" s="141">
        <f t="shared" si="15"/>
        <v>0</v>
      </c>
      <c r="BQ62" s="141">
        <f t="shared" si="15"/>
        <v>0</v>
      </c>
      <c r="BR62" s="141">
        <f t="shared" si="15"/>
        <v>0</v>
      </c>
      <c r="BS62" s="141">
        <f t="shared" si="15"/>
        <v>0</v>
      </c>
      <c r="BT62" s="141">
        <f t="shared" si="15"/>
        <v>0</v>
      </c>
      <c r="BU62" s="141">
        <f t="shared" si="15"/>
        <v>0</v>
      </c>
      <c r="BV62" s="141">
        <f t="shared" ref="BV62:CA62" si="16" xml:space="preserve"> -1 * BV61</f>
        <v>0</v>
      </c>
      <c r="BW62" s="141">
        <f t="shared" si="16"/>
        <v>0</v>
      </c>
      <c r="BX62" s="141">
        <f t="shared" si="16"/>
        <v>0</v>
      </c>
      <c r="BY62" s="141">
        <f t="shared" si="16"/>
        <v>0</v>
      </c>
      <c r="BZ62" s="141">
        <f t="shared" si="16"/>
        <v>0</v>
      </c>
      <c r="CA62" s="141">
        <f t="shared" si="16"/>
        <v>0</v>
      </c>
    </row>
  </sheetData>
  <conditionalFormatting sqref="F2">
    <cfRule type="cellIs" dxfId="35" priority="1" stopIfTrue="1" operator="notEqual">
      <formula>0</formula>
    </cfRule>
    <cfRule type="cellIs" dxfId="34" priority="2" stopIfTrue="1" operator="equal">
      <formula>""</formula>
    </cfRule>
  </conditionalFormatting>
  <conditionalFormatting sqref="J3:BY3">
    <cfRule type="cellIs" dxfId="33" priority="5" stopIfTrue="1" operator="equal">
      <formula>"Pre-forecast"</formula>
    </cfRule>
    <cfRule type="cellIs" dxfId="32"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0" tint="-0.14999847407452621"/>
    <outlinePr summaryBelow="0" summaryRight="0"/>
  </sheetPr>
  <dimension ref="A1:IV139"/>
  <sheetViews>
    <sheetView defaultGridColor="0" colorId="22" zoomScale="80" workbookViewId="0">
      <pane xSplit="9" ySplit="5" topLeftCell="J117" activePane="bottomRight" state="frozen"/>
      <selection activeCell="F2" sqref="F2"/>
      <selection pane="topRight" activeCell="F2" sqref="F2"/>
      <selection pane="bottomLeft" activeCell="F2" sqref="F2"/>
      <selection pane="bottomRight" activeCell="F2" sqref="F2"/>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57" style="58" bestFit="1" customWidth="1"/>
    <col min="6" max="6" width="15.140625" style="58" bestFit="1" customWidth="1"/>
    <col min="7" max="8" width="11.7109375" style="58" customWidth="1"/>
    <col min="9" max="9" width="2.7109375" style="58" customWidth="1"/>
    <col min="10"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FixdAssts</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324" customFormat="1">
      <c r="A7" s="311" t="s">
        <v>252</v>
      </c>
      <c r="B7" s="311"/>
      <c r="C7" s="312"/>
      <c r="D7" s="313"/>
      <c r="E7" s="314"/>
      <c r="F7" s="314"/>
      <c r="G7" s="314"/>
      <c r="H7" s="314"/>
      <c r="I7" s="314"/>
      <c r="J7" s="314"/>
    </row>
    <row r="8" spans="1:77" s="265" customFormat="1">
      <c r="A8" s="294"/>
      <c r="B8" s="295"/>
      <c r="C8" s="296"/>
      <c r="D8" s="297"/>
      <c r="E8" s="298"/>
      <c r="F8" s="298"/>
      <c r="G8" s="298"/>
      <c r="H8" s="298"/>
      <c r="I8" s="298"/>
      <c r="J8" s="298"/>
    </row>
    <row r="9" spans="1:77" s="265" customFormat="1">
      <c r="A9" s="294"/>
      <c r="B9" s="295" t="s">
        <v>253</v>
      </c>
      <c r="C9" s="296"/>
      <c r="D9" s="297"/>
      <c r="E9" s="298"/>
      <c r="F9" s="298"/>
      <c r="G9" s="298"/>
      <c r="H9" s="298"/>
      <c r="I9" s="298"/>
      <c r="J9" s="298"/>
    </row>
    <row r="10" spans="1:77" s="303" customFormat="1">
      <c r="A10" s="299"/>
      <c r="B10" s="299"/>
      <c r="C10" s="300"/>
      <c r="D10" s="301"/>
      <c r="E10" s="343" t="str">
        <f xml:space="preserve"> InpS!E$57</f>
        <v>Buildings and Freehold Land Capex POS</v>
      </c>
      <c r="F10" s="343">
        <f xml:space="preserve"> InpS!F$57</f>
        <v>0</v>
      </c>
      <c r="G10" s="343" t="str">
        <f xml:space="preserve"> InpS!G$57</f>
        <v>Kes '000'</v>
      </c>
      <c r="H10" s="343">
        <f xml:space="preserve"> InpS!H$57</f>
        <v>2000000</v>
      </c>
      <c r="I10" s="343">
        <f xml:space="preserve"> InpS!I$57</f>
        <v>0</v>
      </c>
      <c r="J10" s="343">
        <f xml:space="preserve"> InpS!J$57</f>
        <v>0</v>
      </c>
      <c r="K10" s="343">
        <f xml:space="preserve"> InpS!K$57</f>
        <v>0</v>
      </c>
      <c r="L10" s="343">
        <f xml:space="preserve"> InpS!L$57</f>
        <v>0</v>
      </c>
      <c r="M10" s="343">
        <f xml:space="preserve"> InpS!M$57</f>
        <v>0</v>
      </c>
      <c r="N10" s="343">
        <f xml:space="preserve"> InpS!N$57</f>
        <v>0</v>
      </c>
      <c r="O10" s="343">
        <f xml:space="preserve"> InpS!O$57</f>
        <v>0</v>
      </c>
      <c r="P10" s="343">
        <f xml:space="preserve"> InpS!P$57</f>
        <v>0</v>
      </c>
      <c r="Q10" s="343">
        <f xml:space="preserve"> InpS!Q$57</f>
        <v>0</v>
      </c>
      <c r="R10" s="343">
        <f xml:space="preserve"> InpS!R$57</f>
        <v>0</v>
      </c>
      <c r="S10" s="343">
        <f xml:space="preserve"> InpS!S$57</f>
        <v>2000000</v>
      </c>
      <c r="T10" s="343">
        <f xml:space="preserve"> InpS!T$57</f>
        <v>0</v>
      </c>
      <c r="U10" s="343">
        <f xml:space="preserve"> InpS!U$57</f>
        <v>0</v>
      </c>
      <c r="V10" s="343">
        <f xml:space="preserve"> InpS!V$57</f>
        <v>0</v>
      </c>
      <c r="W10" s="343">
        <f xml:space="preserve"> InpS!W$57</f>
        <v>0</v>
      </c>
    </row>
    <row r="11" spans="1:77" s="308" customFormat="1">
      <c r="A11" s="304"/>
      <c r="B11" s="304"/>
      <c r="C11" s="305"/>
      <c r="D11" s="306"/>
      <c r="E11" s="307" t="str">
        <f xml:space="preserve"> LEFT(E10, LEN(E10) - 4)</f>
        <v>Buildings and Freehold Land Capex</v>
      </c>
      <c r="F11" s="307" t="s">
        <v>248</v>
      </c>
      <c r="G11" s="307" t="str">
        <f xml:space="preserve"> G10</f>
        <v>Kes '000'</v>
      </c>
      <c r="H11" s="344">
        <f xml:space="preserve"> SUM(J11:W11)</f>
        <v>-2000000</v>
      </c>
      <c r="I11" s="307"/>
      <c r="J11" s="307">
        <f xml:space="preserve"> -1 * J10</f>
        <v>0</v>
      </c>
      <c r="K11" s="307">
        <f t="shared" ref="K11:W11" si="0" xml:space="preserve"> -1 * K10</f>
        <v>0</v>
      </c>
      <c r="L11" s="307">
        <f t="shared" si="0"/>
        <v>0</v>
      </c>
      <c r="M11" s="307">
        <f t="shared" si="0"/>
        <v>0</v>
      </c>
      <c r="N11" s="307">
        <f t="shared" si="0"/>
        <v>0</v>
      </c>
      <c r="O11" s="307">
        <f t="shared" si="0"/>
        <v>0</v>
      </c>
      <c r="P11" s="307">
        <f t="shared" si="0"/>
        <v>0</v>
      </c>
      <c r="Q11" s="307">
        <f t="shared" si="0"/>
        <v>0</v>
      </c>
      <c r="R11" s="307">
        <f t="shared" si="0"/>
        <v>0</v>
      </c>
      <c r="S11" s="307">
        <f t="shared" si="0"/>
        <v>-2000000</v>
      </c>
      <c r="T11" s="307">
        <f t="shared" si="0"/>
        <v>0</v>
      </c>
      <c r="U11" s="307">
        <f t="shared" si="0"/>
        <v>0</v>
      </c>
      <c r="V11" s="307">
        <f t="shared" si="0"/>
        <v>0</v>
      </c>
      <c r="W11" s="307">
        <f t="shared" si="0"/>
        <v>0</v>
      </c>
    </row>
    <row r="12" spans="1:77" s="265" customFormat="1">
      <c r="A12" s="294"/>
      <c r="B12" s="295"/>
      <c r="C12" s="296"/>
      <c r="D12" s="297"/>
      <c r="E12" s="298"/>
      <c r="F12" s="298"/>
      <c r="G12" s="298"/>
      <c r="H12" s="298"/>
      <c r="I12" s="298"/>
      <c r="J12" s="298"/>
      <c r="K12" s="298"/>
      <c r="L12" s="298"/>
      <c r="M12" s="298"/>
      <c r="N12" s="298"/>
      <c r="O12" s="298"/>
      <c r="P12" s="298"/>
      <c r="Q12" s="298"/>
      <c r="R12" s="298"/>
      <c r="S12" s="298"/>
      <c r="T12" s="298"/>
      <c r="U12" s="298"/>
      <c r="V12" s="298"/>
      <c r="W12" s="298"/>
    </row>
    <row r="13" spans="1:77" s="265" customFormat="1">
      <c r="A13" s="294"/>
      <c r="B13" s="295" t="s">
        <v>254</v>
      </c>
      <c r="C13" s="296"/>
      <c r="D13" s="297"/>
      <c r="E13" s="298"/>
      <c r="F13" s="298"/>
      <c r="G13" s="298"/>
      <c r="H13" s="298"/>
      <c r="I13" s="298"/>
      <c r="J13" s="298"/>
      <c r="K13" s="298"/>
      <c r="L13" s="298"/>
      <c r="M13" s="298"/>
      <c r="N13" s="298"/>
      <c r="O13" s="298"/>
      <c r="P13" s="298"/>
      <c r="Q13" s="298"/>
      <c r="R13" s="298"/>
      <c r="S13" s="298"/>
      <c r="T13" s="298"/>
      <c r="U13" s="298"/>
      <c r="V13" s="298"/>
      <c r="W13" s="298"/>
    </row>
    <row r="14" spans="1:77" s="265" customFormat="1">
      <c r="A14" s="295"/>
      <c r="B14" s="295"/>
      <c r="C14" s="296"/>
      <c r="D14" s="309"/>
      <c r="E14" s="346" t="str">
        <f xml:space="preserve"> InpC!E$30</f>
        <v>Useful life of Building and Freehold Land</v>
      </c>
      <c r="F14" s="346">
        <f xml:space="preserve"> InpC!F$30</f>
        <v>40</v>
      </c>
      <c r="G14" s="346" t="str">
        <f xml:space="preserve"> InpC!G$30</f>
        <v>years</v>
      </c>
      <c r="H14" s="302"/>
      <c r="I14" s="302"/>
      <c r="J14" s="302"/>
      <c r="K14" s="302"/>
      <c r="L14" s="302"/>
      <c r="M14" s="302"/>
      <c r="N14" s="302"/>
      <c r="O14" s="302"/>
      <c r="P14" s="302"/>
      <c r="Q14" s="302"/>
      <c r="R14" s="302"/>
      <c r="S14" s="302"/>
      <c r="T14" s="302"/>
      <c r="U14" s="302"/>
      <c r="V14" s="302"/>
      <c r="W14" s="302"/>
    </row>
    <row r="15" spans="1:77" s="260" customFormat="1">
      <c r="A15" s="257"/>
      <c r="B15" s="257"/>
      <c r="C15" s="258"/>
      <c r="D15" s="259"/>
      <c r="E15" s="345" t="str">
        <f xml:space="preserve"> InpC!E$23</f>
        <v>Annual to semi annual conversion factor</v>
      </c>
      <c r="F15" s="345">
        <f xml:space="preserve"> InpC!F$23</f>
        <v>1</v>
      </c>
      <c r="G15" s="345" t="str">
        <f xml:space="preserve"> InpC!G$23</f>
        <v>factor</v>
      </c>
      <c r="H15" s="259"/>
      <c r="I15" s="259"/>
      <c r="J15" s="259"/>
      <c r="K15" s="259"/>
      <c r="L15" s="259"/>
      <c r="M15" s="259"/>
      <c r="N15" s="259"/>
      <c r="O15" s="259"/>
      <c r="P15" s="259"/>
      <c r="Q15" s="259"/>
      <c r="R15" s="259"/>
      <c r="S15" s="259"/>
      <c r="T15" s="259"/>
      <c r="U15" s="259"/>
      <c r="V15" s="259"/>
      <c r="W15" s="259"/>
    </row>
    <row r="16" spans="1:77" s="265" customFormat="1">
      <c r="A16" s="294"/>
      <c r="B16" s="295"/>
      <c r="C16" s="296"/>
      <c r="D16" s="297"/>
      <c r="E16" s="302" t="s">
        <v>255</v>
      </c>
      <c r="F16" s="298">
        <f xml:space="preserve"> F14 / F15</f>
        <v>40</v>
      </c>
      <c r="G16" s="298" t="s">
        <v>249</v>
      </c>
      <c r="H16" s="298"/>
      <c r="I16" s="298"/>
      <c r="J16" s="298"/>
      <c r="K16" s="298"/>
      <c r="L16" s="298"/>
      <c r="M16" s="298"/>
      <c r="N16" s="298"/>
      <c r="O16" s="298"/>
      <c r="P16" s="298"/>
      <c r="Q16" s="298"/>
      <c r="R16" s="298"/>
      <c r="S16" s="298"/>
      <c r="T16" s="298"/>
      <c r="U16" s="298"/>
      <c r="V16" s="298"/>
      <c r="W16" s="298"/>
    </row>
    <row r="17" spans="1:256" s="265" customFormat="1">
      <c r="A17" s="294"/>
      <c r="B17" s="295"/>
      <c r="C17" s="296"/>
      <c r="D17" s="297"/>
      <c r="E17" s="298"/>
      <c r="F17" s="298"/>
      <c r="G17" s="298"/>
      <c r="H17" s="298"/>
      <c r="I17" s="298"/>
      <c r="J17" s="298"/>
      <c r="K17" s="298"/>
      <c r="L17" s="298"/>
      <c r="M17" s="298"/>
      <c r="N17" s="298"/>
      <c r="O17" s="298"/>
      <c r="P17" s="298"/>
      <c r="Q17" s="298"/>
      <c r="R17" s="298"/>
      <c r="S17" s="298"/>
      <c r="T17" s="298"/>
      <c r="U17" s="298"/>
      <c r="V17" s="298"/>
      <c r="W17" s="298"/>
    </row>
    <row r="18" spans="1:256" s="265" customFormat="1">
      <c r="A18" s="294"/>
      <c r="B18" s="295"/>
      <c r="C18" s="296" t="s">
        <v>256</v>
      </c>
      <c r="D18" s="297"/>
      <c r="E18" s="298"/>
      <c r="F18" s="298"/>
      <c r="G18" s="298"/>
      <c r="H18" s="298"/>
      <c r="I18" s="298"/>
      <c r="J18" s="298"/>
      <c r="K18" s="298"/>
      <c r="L18" s="298"/>
      <c r="M18" s="298"/>
      <c r="N18" s="298"/>
      <c r="O18" s="298"/>
      <c r="P18" s="298"/>
      <c r="Q18" s="298"/>
      <c r="R18" s="298"/>
      <c r="S18" s="298"/>
      <c r="T18" s="298"/>
      <c r="U18" s="298"/>
      <c r="V18" s="298"/>
      <c r="W18" s="298"/>
    </row>
    <row r="19" spans="1:256" s="265" customFormat="1">
      <c r="A19" s="295"/>
      <c r="B19" s="295"/>
      <c r="C19" s="296"/>
      <c r="D19" s="309"/>
      <c r="E19" s="302" t="str">
        <f xml:space="preserve"> E16</f>
        <v>Useful life of Building and Freehold Land</v>
      </c>
      <c r="F19" s="302">
        <f xml:space="preserve"> F16</f>
        <v>40</v>
      </c>
      <c r="G19" s="302" t="str">
        <f xml:space="preserve"> G16</f>
        <v>periods</v>
      </c>
      <c r="H19" s="302"/>
      <c r="I19" s="302"/>
      <c r="J19" s="302"/>
      <c r="K19" s="302"/>
      <c r="L19" s="302"/>
      <c r="M19" s="302"/>
      <c r="N19" s="302"/>
      <c r="O19" s="302"/>
      <c r="P19" s="302"/>
      <c r="Q19" s="302"/>
      <c r="R19" s="302"/>
      <c r="S19" s="302"/>
      <c r="T19" s="302"/>
      <c r="U19" s="302"/>
      <c r="V19" s="302"/>
      <c r="W19" s="302"/>
    </row>
    <row r="20" spans="1:256" s="303" customFormat="1">
      <c r="A20" s="299"/>
      <c r="B20" s="299"/>
      <c r="C20" s="300"/>
      <c r="D20" s="301"/>
      <c r="E20" s="315" t="s">
        <v>250</v>
      </c>
      <c r="F20" s="315">
        <v>0</v>
      </c>
      <c r="G20" s="315" t="s">
        <v>20</v>
      </c>
      <c r="H20" s="315">
        <v>0</v>
      </c>
      <c r="I20" s="315">
        <v>0</v>
      </c>
      <c r="J20" s="315">
        <v>1</v>
      </c>
      <c r="K20" s="315">
        <v>1</v>
      </c>
      <c r="L20" s="315">
        <v>1</v>
      </c>
      <c r="M20" s="315">
        <v>1</v>
      </c>
      <c r="N20" s="315">
        <v>1</v>
      </c>
      <c r="O20" s="315">
        <v>1</v>
      </c>
      <c r="P20" s="315">
        <v>1</v>
      </c>
      <c r="Q20" s="315">
        <v>1</v>
      </c>
      <c r="R20" s="315">
        <v>1</v>
      </c>
      <c r="S20" s="315">
        <v>1</v>
      </c>
      <c r="T20" s="315">
        <v>1</v>
      </c>
      <c r="U20" s="315">
        <v>1</v>
      </c>
      <c r="V20" s="315">
        <v>1</v>
      </c>
      <c r="W20" s="315">
        <v>1</v>
      </c>
    </row>
    <row r="21" spans="1:256" s="303" customFormat="1">
      <c r="A21" s="299"/>
      <c r="B21" s="299"/>
      <c r="C21" s="300"/>
      <c r="D21" s="301"/>
      <c r="E21" s="346" t="str">
        <f xml:space="preserve"> InpS!E$57</f>
        <v>Buildings and Freehold Land Capex POS</v>
      </c>
      <c r="F21" s="346">
        <f xml:space="preserve"> InpS!F$57</f>
        <v>0</v>
      </c>
      <c r="G21" s="346" t="str">
        <f xml:space="preserve"> InpS!G$57</f>
        <v>Kes '000'</v>
      </c>
      <c r="H21" s="346">
        <f xml:space="preserve"> InpS!H$57</f>
        <v>2000000</v>
      </c>
      <c r="I21" s="346">
        <f xml:space="preserve"> InpS!I$57</f>
        <v>0</v>
      </c>
      <c r="J21" s="346">
        <f xml:space="preserve"> InpS!J$57</f>
        <v>0</v>
      </c>
      <c r="K21" s="346">
        <f xml:space="preserve"> InpS!K$57</f>
        <v>0</v>
      </c>
      <c r="L21" s="346">
        <f xml:space="preserve"> InpS!L$57</f>
        <v>0</v>
      </c>
      <c r="M21" s="346">
        <f xml:space="preserve"> InpS!M$57</f>
        <v>0</v>
      </c>
      <c r="N21" s="346">
        <f xml:space="preserve"> InpS!N$57</f>
        <v>0</v>
      </c>
      <c r="O21" s="346">
        <f xml:space="preserve"> InpS!O$57</f>
        <v>0</v>
      </c>
      <c r="P21" s="346">
        <f xml:space="preserve"> InpS!P$57</f>
        <v>0</v>
      </c>
      <c r="Q21" s="346">
        <f xml:space="preserve"> InpS!Q$57</f>
        <v>0</v>
      </c>
      <c r="R21" s="346">
        <f xml:space="preserve"> InpS!R$57</f>
        <v>0</v>
      </c>
      <c r="S21" s="346">
        <f xml:space="preserve"> InpS!S$57</f>
        <v>2000000</v>
      </c>
      <c r="T21" s="346">
        <f xml:space="preserve"> InpS!T$57</f>
        <v>0</v>
      </c>
      <c r="U21" s="346">
        <f xml:space="preserve"> InpS!U$57</f>
        <v>0</v>
      </c>
      <c r="V21" s="346">
        <f xml:space="preserve"> InpS!V$57</f>
        <v>0</v>
      </c>
      <c r="W21" s="346">
        <f xml:space="preserve"> InpS!W$57</f>
        <v>0</v>
      </c>
    </row>
    <row r="22" spans="1:256" s="265" customFormat="1">
      <c r="A22" s="295"/>
      <c r="B22" s="295"/>
      <c r="C22" s="296"/>
      <c r="D22" s="309"/>
      <c r="E22" s="302" t="s">
        <v>257</v>
      </c>
      <c r="F22" s="302"/>
      <c r="G22" s="302" t="s">
        <v>48</v>
      </c>
      <c r="H22" s="302">
        <f xml:space="preserve"> SUM(J22:W22)</f>
        <v>0</v>
      </c>
      <c r="I22" s="302"/>
      <c r="J22" s="302">
        <f xml:space="preserve"> SUMIF($J20:J20, J20 - $F19, $J21:J21)</f>
        <v>0</v>
      </c>
      <c r="K22" s="302">
        <f xml:space="preserve"> SUMIF($J20:K20, K20 - $F19, $J21:K21)</f>
        <v>0</v>
      </c>
      <c r="L22" s="302">
        <f xml:space="preserve"> SUMIF($J20:L20, L20 - $F19, $J21:L21)</f>
        <v>0</v>
      </c>
      <c r="M22" s="302">
        <f xml:space="preserve"> SUMIF($J20:M20, M20 - $F19, $J21:M21)</f>
        <v>0</v>
      </c>
      <c r="N22" s="302">
        <f xml:space="preserve"> SUMIF($J20:N20, N20 - $F19, $J21:N21)</f>
        <v>0</v>
      </c>
      <c r="O22" s="302">
        <f xml:space="preserve"> SUMIF($J20:O20, O20 - $F19, $J21:O21)</f>
        <v>0</v>
      </c>
      <c r="P22" s="302">
        <f xml:space="preserve"> SUMIF($J20:P20, P20 - $F19, $J21:P21)</f>
        <v>0</v>
      </c>
      <c r="Q22" s="302">
        <f xml:space="preserve"> SUMIF($J20:Q20, Q20 - $F19, $J21:Q21)</f>
        <v>0</v>
      </c>
      <c r="R22" s="302">
        <f xml:space="preserve"> SUMIF($J20:R20, R20 - $F19, $J21:R21)</f>
        <v>0</v>
      </c>
      <c r="S22" s="302">
        <f xml:space="preserve"> SUMIF($J20:S20, S20 - $F19, $J21:S21)</f>
        <v>0</v>
      </c>
      <c r="T22" s="302">
        <f xml:space="preserve"> SUMIF($J20:T20, T20 - $F19, $J21:T21)</f>
        <v>0</v>
      </c>
      <c r="U22" s="302">
        <f xml:space="preserve"> SUMIF($J20:U20, U20 - $F19, $J21:U21)</f>
        <v>0</v>
      </c>
      <c r="V22" s="302">
        <f xml:space="preserve"> SUMIF($J20:V20, V20 - $F19, $J21:V21)</f>
        <v>0</v>
      </c>
      <c r="W22" s="302">
        <f xml:space="preserve"> SUMIF($J20:W20, W20 - $F19, $J21:W21)</f>
        <v>0</v>
      </c>
    </row>
    <row r="23" spans="1:256" s="265" customFormat="1">
      <c r="A23" s="295"/>
      <c r="B23" s="295"/>
      <c r="C23" s="296"/>
      <c r="D23" s="309"/>
      <c r="E23" s="302"/>
      <c r="F23" s="302"/>
      <c r="G23" s="302"/>
      <c r="H23" s="302"/>
      <c r="I23" s="302"/>
      <c r="J23" s="302"/>
      <c r="K23" s="302"/>
      <c r="L23" s="302"/>
      <c r="M23" s="302"/>
      <c r="N23" s="302"/>
      <c r="O23" s="302"/>
      <c r="P23" s="302"/>
      <c r="Q23" s="302"/>
      <c r="R23" s="302"/>
      <c r="S23" s="302"/>
      <c r="T23" s="302"/>
      <c r="U23" s="302"/>
      <c r="V23" s="302"/>
      <c r="W23" s="302"/>
    </row>
    <row r="24" spans="1:256" s="265" customFormat="1">
      <c r="A24" s="295"/>
      <c r="B24" s="295"/>
      <c r="C24" s="296" t="s">
        <v>258</v>
      </c>
      <c r="D24" s="309"/>
      <c r="E24" s="302"/>
      <c r="F24" s="302"/>
      <c r="G24" s="302"/>
      <c r="H24" s="302"/>
      <c r="I24" s="302"/>
      <c r="J24" s="302"/>
      <c r="K24" s="302"/>
      <c r="L24" s="302"/>
      <c r="M24" s="302"/>
      <c r="N24" s="302"/>
      <c r="O24" s="302"/>
      <c r="P24" s="302"/>
      <c r="Q24" s="302"/>
      <c r="R24" s="302"/>
      <c r="S24" s="302"/>
      <c r="T24" s="302"/>
      <c r="U24" s="302"/>
      <c r="V24" s="302"/>
      <c r="W24" s="302"/>
    </row>
    <row r="25" spans="1:256" s="265" customFormat="1">
      <c r="A25" s="295"/>
      <c r="B25" s="295"/>
      <c r="C25" s="296"/>
      <c r="D25" s="309"/>
      <c r="E25" s="302" t="str">
        <f>E16</f>
        <v>Useful life of Building and Freehold Land</v>
      </c>
      <c r="F25" s="302">
        <f>F16</f>
        <v>40</v>
      </c>
      <c r="G25" s="302" t="str">
        <f>G16</f>
        <v>periods</v>
      </c>
      <c r="H25" s="302"/>
      <c r="I25" s="302"/>
      <c r="J25" s="302"/>
      <c r="K25" s="302"/>
      <c r="L25" s="302"/>
      <c r="M25" s="302"/>
      <c r="N25" s="302"/>
      <c r="O25" s="302"/>
      <c r="P25" s="302"/>
      <c r="Q25" s="302"/>
      <c r="R25" s="302"/>
      <c r="S25" s="302"/>
      <c r="T25" s="302"/>
      <c r="U25" s="302"/>
      <c r="V25" s="302"/>
      <c r="W25" s="302"/>
    </row>
    <row r="26" spans="1:256" s="303" customFormat="1">
      <c r="A26" s="299"/>
      <c r="B26" s="299"/>
      <c r="C26" s="300"/>
      <c r="D26" s="301"/>
      <c r="E26" s="315" t="s">
        <v>250</v>
      </c>
      <c r="F26" s="315">
        <v>0</v>
      </c>
      <c r="G26" s="315" t="s">
        <v>20</v>
      </c>
      <c r="H26" s="315">
        <v>0</v>
      </c>
      <c r="I26" s="315">
        <v>0</v>
      </c>
      <c r="J26" s="315">
        <v>1</v>
      </c>
      <c r="K26" s="315">
        <v>1</v>
      </c>
      <c r="L26" s="315">
        <v>1</v>
      </c>
      <c r="M26" s="315">
        <v>1</v>
      </c>
      <c r="N26" s="315">
        <v>1</v>
      </c>
      <c r="O26" s="315">
        <v>1</v>
      </c>
      <c r="P26" s="315">
        <v>1</v>
      </c>
      <c r="Q26" s="315">
        <v>1</v>
      </c>
      <c r="R26" s="315">
        <v>1</v>
      </c>
      <c r="S26" s="315">
        <v>1</v>
      </c>
      <c r="T26" s="315">
        <v>1</v>
      </c>
      <c r="U26" s="315">
        <v>1</v>
      </c>
      <c r="V26" s="315">
        <v>1</v>
      </c>
      <c r="W26" s="315">
        <v>1</v>
      </c>
    </row>
    <row r="27" spans="1:256" s="303" customFormat="1">
      <c r="A27" s="299"/>
      <c r="B27" s="299"/>
      <c r="C27" s="300"/>
      <c r="D27" s="301"/>
      <c r="E27" s="315"/>
      <c r="F27" s="315"/>
      <c r="G27" s="315"/>
      <c r="H27" s="315"/>
      <c r="I27" s="315"/>
      <c r="J27" s="315"/>
      <c r="K27" s="315"/>
      <c r="L27" s="315"/>
      <c r="M27" s="315"/>
      <c r="N27" s="315"/>
      <c r="O27" s="315"/>
      <c r="P27" s="315"/>
      <c r="Q27" s="315"/>
      <c r="R27" s="315"/>
      <c r="S27" s="315"/>
      <c r="T27" s="315"/>
      <c r="U27" s="315"/>
      <c r="V27" s="315"/>
      <c r="W27" s="315"/>
    </row>
    <row r="28" spans="1:256" s="265" customFormat="1">
      <c r="A28" s="316"/>
      <c r="B28" s="316"/>
      <c r="C28" s="317"/>
      <c r="D28" s="318"/>
      <c r="E28" s="349" t="str">
        <f xml:space="preserve"> InpC!E$31</f>
        <v>Building and Freehold Land - depreciable basis - Initial balance</v>
      </c>
      <c r="F28" s="349">
        <f xml:space="preserve"> InpC!F$31</f>
        <v>3047148</v>
      </c>
      <c r="G28" s="349" t="str">
        <f xml:space="preserve"> InpC!G$31</f>
        <v>Kes '000'</v>
      </c>
      <c r="H28" s="319"/>
      <c r="I28" s="319"/>
      <c r="J28" s="319"/>
      <c r="K28" s="319"/>
      <c r="L28" s="319"/>
      <c r="M28" s="319"/>
      <c r="N28" s="319"/>
      <c r="O28" s="319"/>
      <c r="P28" s="319"/>
      <c r="Q28" s="319"/>
      <c r="R28" s="319"/>
      <c r="S28" s="319"/>
      <c r="T28" s="319"/>
      <c r="U28" s="319"/>
      <c r="V28" s="319"/>
      <c r="W28" s="319"/>
    </row>
    <row r="29" spans="1:256" s="265" customFormat="1">
      <c r="A29" s="262"/>
      <c r="B29" s="262"/>
      <c r="C29" s="263"/>
      <c r="D29" s="351"/>
      <c r="E29" s="350" t="str">
        <f xml:space="preserve"> Time!E$33</f>
        <v>Acquisition / initial balance date flag</v>
      </c>
      <c r="F29" s="350">
        <f xml:space="preserve"> Time!F$33</f>
        <v>0</v>
      </c>
      <c r="G29" s="350" t="str">
        <f xml:space="preserve"> Time!G$33</f>
        <v>flag</v>
      </c>
      <c r="H29" s="350">
        <f xml:space="preserve"> Time!H$33</f>
        <v>1</v>
      </c>
      <c r="I29" s="350">
        <f xml:space="preserve"> Time!I$33</f>
        <v>0</v>
      </c>
      <c r="J29" s="350">
        <f xml:space="preserve"> Time!J$33</f>
        <v>0</v>
      </c>
      <c r="K29" s="350">
        <f xml:space="preserve"> Time!K$33</f>
        <v>0</v>
      </c>
      <c r="L29" s="350">
        <f xml:space="preserve"> Time!L$33</f>
        <v>0</v>
      </c>
      <c r="M29" s="350">
        <f xml:space="preserve"> Time!M$33</f>
        <v>0</v>
      </c>
      <c r="N29" s="350">
        <f xml:space="preserve"> Time!N$33</f>
        <v>0</v>
      </c>
      <c r="O29" s="350">
        <f xml:space="preserve"> Time!O$33</f>
        <v>1</v>
      </c>
      <c r="P29" s="350">
        <f xml:space="preserve"> Time!P$33</f>
        <v>0</v>
      </c>
      <c r="Q29" s="350">
        <f xml:space="preserve"> Time!Q$33</f>
        <v>0</v>
      </c>
      <c r="R29" s="350">
        <f xml:space="preserve"> Time!R$33</f>
        <v>0</v>
      </c>
      <c r="S29" s="350">
        <f xml:space="preserve"> Time!S$33</f>
        <v>0</v>
      </c>
      <c r="T29" s="350">
        <f xml:space="preserve"> Time!T$33</f>
        <v>0</v>
      </c>
      <c r="U29" s="350">
        <f xml:space="preserve"> Time!U$33</f>
        <v>0</v>
      </c>
      <c r="V29" s="350">
        <f xml:space="preserve"> Time!V$33</f>
        <v>0</v>
      </c>
      <c r="W29" s="350">
        <f xml:space="preserve"> Time!W$33</f>
        <v>0</v>
      </c>
    </row>
    <row r="30" spans="1:256" s="303" customFormat="1">
      <c r="A30" s="299"/>
      <c r="B30" s="299"/>
      <c r="C30" s="300"/>
      <c r="D30" s="301"/>
      <c r="E30" s="302" t="s">
        <v>260</v>
      </c>
      <c r="F30" s="302">
        <v>0</v>
      </c>
      <c r="G30" s="302" t="s">
        <v>48</v>
      </c>
      <c r="H30" s="302">
        <f xml:space="preserve"> SUM(J30:W30)</f>
        <v>3047148</v>
      </c>
      <c r="I30" s="302"/>
      <c r="J30" s="302">
        <f xml:space="preserve"> J29 * $F28</f>
        <v>0</v>
      </c>
      <c r="K30" s="302">
        <f t="shared" ref="K30:W30" si="1" xml:space="preserve"> K29 * $F28</f>
        <v>0</v>
      </c>
      <c r="L30" s="302">
        <f t="shared" si="1"/>
        <v>0</v>
      </c>
      <c r="M30" s="302">
        <f t="shared" si="1"/>
        <v>0</v>
      </c>
      <c r="N30" s="302">
        <f t="shared" si="1"/>
        <v>0</v>
      </c>
      <c r="O30" s="302">
        <f t="shared" si="1"/>
        <v>3047148</v>
      </c>
      <c r="P30" s="302">
        <f t="shared" si="1"/>
        <v>0</v>
      </c>
      <c r="Q30" s="302">
        <f t="shared" si="1"/>
        <v>0</v>
      </c>
      <c r="R30" s="302">
        <f t="shared" si="1"/>
        <v>0</v>
      </c>
      <c r="S30" s="302">
        <f t="shared" si="1"/>
        <v>0</v>
      </c>
      <c r="T30" s="302">
        <f t="shared" si="1"/>
        <v>0</v>
      </c>
      <c r="U30" s="302">
        <f t="shared" si="1"/>
        <v>0</v>
      </c>
      <c r="V30" s="302">
        <f t="shared" si="1"/>
        <v>0</v>
      </c>
      <c r="W30" s="302">
        <f t="shared" si="1"/>
        <v>0</v>
      </c>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row>
    <row r="31" spans="1:256" s="265" customFormat="1">
      <c r="A31" s="294"/>
      <c r="B31" s="295"/>
      <c r="C31" s="296"/>
      <c r="D31" s="297"/>
      <c r="E31" s="298" t="s">
        <v>258</v>
      </c>
      <c r="F31" s="298"/>
      <c r="G31" s="298" t="s">
        <v>48</v>
      </c>
      <c r="H31" s="302">
        <f xml:space="preserve"> SUM(J31:W31)</f>
        <v>0</v>
      </c>
      <c r="I31" s="298"/>
      <c r="J31" s="298">
        <f xml:space="preserve"> SUMIF($J26:J26, J26 - $F25, $J30:J30)</f>
        <v>0</v>
      </c>
      <c r="K31" s="298">
        <f xml:space="preserve"> SUMIF($J26:K26, K26 - $F25, $J30:K30)</f>
        <v>0</v>
      </c>
      <c r="L31" s="298">
        <f xml:space="preserve"> SUMIF($J26:L26, L26 - $F25, $J30:L30)</f>
        <v>0</v>
      </c>
      <c r="M31" s="298">
        <f xml:space="preserve"> SUMIF($J26:M26, M26 - $F25, $J30:M30)</f>
        <v>0</v>
      </c>
      <c r="N31" s="298">
        <f xml:space="preserve"> SUMIF($J26:N26, N26 - $F25, $J30:N30)</f>
        <v>0</v>
      </c>
      <c r="O31" s="298">
        <f xml:space="preserve"> SUMIF($J26:O26, O26 - $F25, $J30:O30)</f>
        <v>0</v>
      </c>
      <c r="P31" s="298">
        <f xml:space="preserve"> SUMIF($J26:P26, P26 - $F25, $J30:P30)</f>
        <v>0</v>
      </c>
      <c r="Q31" s="298">
        <f xml:space="preserve"> SUMIF($J26:Q26, Q26 - $F25, $J30:Q30)</f>
        <v>0</v>
      </c>
      <c r="R31" s="298">
        <f xml:space="preserve"> SUMIF($J26:R26, R26 - $F25, $J30:R30)</f>
        <v>0</v>
      </c>
      <c r="S31" s="298">
        <f xml:space="preserve"> SUMIF($J26:S26, S26 - $F25, $J30:S30)</f>
        <v>0</v>
      </c>
      <c r="T31" s="298">
        <f xml:space="preserve"> SUMIF($J26:T26, T26 - $F25, $J30:T30)</f>
        <v>0</v>
      </c>
      <c r="U31" s="298">
        <f xml:space="preserve"> SUMIF($J26:U26, U26 - $F25, $J30:U30)</f>
        <v>0</v>
      </c>
      <c r="V31" s="298">
        <f xml:space="preserve"> SUMIF($J26:V26, V26 - $F25, $J30:V30)</f>
        <v>0</v>
      </c>
      <c r="W31" s="298">
        <f xml:space="preserve"> SUMIF($J26:W26, W26 - $F25, $J30:W30)</f>
        <v>0</v>
      </c>
    </row>
    <row r="32" spans="1:256" s="265" customFormat="1">
      <c r="A32" s="295"/>
      <c r="B32" s="295"/>
      <c r="C32" s="296"/>
      <c r="D32" s="309"/>
      <c r="E32" s="302"/>
      <c r="F32" s="302"/>
      <c r="G32" s="302"/>
      <c r="H32" s="302"/>
      <c r="I32" s="302"/>
      <c r="J32" s="302"/>
      <c r="K32" s="302"/>
      <c r="L32" s="302"/>
      <c r="M32" s="302"/>
      <c r="N32" s="302"/>
      <c r="O32" s="302"/>
      <c r="P32" s="302"/>
      <c r="Q32" s="302"/>
      <c r="R32" s="302"/>
      <c r="S32" s="302"/>
      <c r="T32" s="302"/>
      <c r="U32" s="302"/>
      <c r="V32" s="302"/>
      <c r="W32" s="302"/>
    </row>
    <row r="33" spans="1:23" s="265" customFormat="1">
      <c r="A33" s="295"/>
      <c r="B33" s="295"/>
      <c r="C33" s="296"/>
      <c r="D33" s="309"/>
      <c r="E33" s="302" t="str">
        <f xml:space="preserve"> E22</f>
        <v>Retirement of Building and Freehold Land</v>
      </c>
      <c r="F33" s="302">
        <f t="shared" ref="F33:J33" si="2" xml:space="preserve"> F22</f>
        <v>0</v>
      </c>
      <c r="G33" s="302" t="str">
        <f t="shared" si="2"/>
        <v>Kes '000'</v>
      </c>
      <c r="H33" s="302">
        <f t="shared" si="2"/>
        <v>0</v>
      </c>
      <c r="I33" s="302">
        <f t="shared" si="2"/>
        <v>0</v>
      </c>
      <c r="J33" s="302">
        <f t="shared" si="2"/>
        <v>0</v>
      </c>
      <c r="K33" s="302">
        <f t="shared" ref="K33:W33" si="3" xml:space="preserve"> K22</f>
        <v>0</v>
      </c>
      <c r="L33" s="302">
        <f t="shared" si="3"/>
        <v>0</v>
      </c>
      <c r="M33" s="302">
        <f t="shared" si="3"/>
        <v>0</v>
      </c>
      <c r="N33" s="302">
        <f t="shared" si="3"/>
        <v>0</v>
      </c>
      <c r="O33" s="302">
        <f t="shared" si="3"/>
        <v>0</v>
      </c>
      <c r="P33" s="302">
        <f t="shared" si="3"/>
        <v>0</v>
      </c>
      <c r="Q33" s="302">
        <f t="shared" si="3"/>
        <v>0</v>
      </c>
      <c r="R33" s="302">
        <f t="shared" si="3"/>
        <v>0</v>
      </c>
      <c r="S33" s="302">
        <f t="shared" si="3"/>
        <v>0</v>
      </c>
      <c r="T33" s="302">
        <f t="shared" si="3"/>
        <v>0</v>
      </c>
      <c r="U33" s="302">
        <f t="shared" si="3"/>
        <v>0</v>
      </c>
      <c r="V33" s="302">
        <f t="shared" si="3"/>
        <v>0</v>
      </c>
      <c r="W33" s="302">
        <f t="shared" si="3"/>
        <v>0</v>
      </c>
    </row>
    <row r="34" spans="1:23" s="265" customFormat="1">
      <c r="A34" s="295"/>
      <c r="B34" s="295"/>
      <c r="C34" s="296"/>
      <c r="D34" s="309"/>
      <c r="E34" s="302" t="str">
        <f xml:space="preserve"> E31</f>
        <v>Retirement of historical Building and Freehold Land</v>
      </c>
      <c r="F34" s="302">
        <f t="shared" ref="F34:J34" si="4" xml:space="preserve"> F31</f>
        <v>0</v>
      </c>
      <c r="G34" s="302" t="str">
        <f t="shared" si="4"/>
        <v>Kes '000'</v>
      </c>
      <c r="H34" s="302">
        <f t="shared" si="4"/>
        <v>0</v>
      </c>
      <c r="I34" s="302">
        <f t="shared" si="4"/>
        <v>0</v>
      </c>
      <c r="J34" s="302">
        <f t="shared" si="4"/>
        <v>0</v>
      </c>
      <c r="K34" s="302">
        <f t="shared" ref="K34:W34" si="5" xml:space="preserve"> K31</f>
        <v>0</v>
      </c>
      <c r="L34" s="302">
        <f t="shared" si="5"/>
        <v>0</v>
      </c>
      <c r="M34" s="302">
        <f t="shared" si="5"/>
        <v>0</v>
      </c>
      <c r="N34" s="302">
        <f t="shared" si="5"/>
        <v>0</v>
      </c>
      <c r="O34" s="302">
        <f t="shared" si="5"/>
        <v>0</v>
      </c>
      <c r="P34" s="302">
        <f t="shared" si="5"/>
        <v>0</v>
      </c>
      <c r="Q34" s="302">
        <f t="shared" si="5"/>
        <v>0</v>
      </c>
      <c r="R34" s="302">
        <f t="shared" si="5"/>
        <v>0</v>
      </c>
      <c r="S34" s="302">
        <f t="shared" si="5"/>
        <v>0</v>
      </c>
      <c r="T34" s="302">
        <f t="shared" si="5"/>
        <v>0</v>
      </c>
      <c r="U34" s="302">
        <f t="shared" si="5"/>
        <v>0</v>
      </c>
      <c r="V34" s="302">
        <f t="shared" si="5"/>
        <v>0</v>
      </c>
      <c r="W34" s="302">
        <f t="shared" si="5"/>
        <v>0</v>
      </c>
    </row>
    <row r="35" spans="1:23" s="265" customFormat="1">
      <c r="A35" s="295"/>
      <c r="B35" s="295"/>
      <c r="C35" s="296"/>
      <c r="D35" s="309"/>
      <c r="E35" s="302" t="s">
        <v>261</v>
      </c>
      <c r="F35" s="302"/>
      <c r="G35" s="302" t="s">
        <v>48</v>
      </c>
      <c r="H35" s="302">
        <f xml:space="preserve"> SUM(H33:H34)</f>
        <v>0</v>
      </c>
      <c r="I35" s="302">
        <f>SUM(I33:I34)</f>
        <v>0</v>
      </c>
      <c r="J35" s="302">
        <f>SUM(J33:J34)</f>
        <v>0</v>
      </c>
      <c r="K35" s="302">
        <f t="shared" ref="K35:W35" si="6">SUM(K33:K34)</f>
        <v>0</v>
      </c>
      <c r="L35" s="302">
        <f t="shared" si="6"/>
        <v>0</v>
      </c>
      <c r="M35" s="302">
        <f t="shared" si="6"/>
        <v>0</v>
      </c>
      <c r="N35" s="302">
        <f t="shared" si="6"/>
        <v>0</v>
      </c>
      <c r="O35" s="302">
        <f t="shared" si="6"/>
        <v>0</v>
      </c>
      <c r="P35" s="302">
        <f t="shared" si="6"/>
        <v>0</v>
      </c>
      <c r="Q35" s="302">
        <f t="shared" si="6"/>
        <v>0</v>
      </c>
      <c r="R35" s="302">
        <f t="shared" si="6"/>
        <v>0</v>
      </c>
      <c r="S35" s="302">
        <f t="shared" si="6"/>
        <v>0</v>
      </c>
      <c r="T35" s="302">
        <f t="shared" si="6"/>
        <v>0</v>
      </c>
      <c r="U35" s="302">
        <f t="shared" si="6"/>
        <v>0</v>
      </c>
      <c r="V35" s="302">
        <f t="shared" si="6"/>
        <v>0</v>
      </c>
      <c r="W35" s="302">
        <f t="shared" si="6"/>
        <v>0</v>
      </c>
    </row>
    <row r="36" spans="1:23" s="265" customFormat="1">
      <c r="A36" s="295"/>
      <c r="B36" s="295"/>
      <c r="C36" s="296"/>
      <c r="D36" s="309"/>
      <c r="E36" s="302"/>
      <c r="F36" s="302"/>
      <c r="G36" s="302"/>
      <c r="H36" s="302"/>
      <c r="I36" s="302"/>
      <c r="J36" s="302"/>
      <c r="K36" s="302"/>
      <c r="L36" s="302"/>
      <c r="M36" s="302"/>
      <c r="N36" s="302"/>
      <c r="O36" s="302"/>
      <c r="P36" s="302"/>
      <c r="Q36" s="302"/>
      <c r="R36" s="302"/>
      <c r="S36" s="302"/>
      <c r="T36" s="302"/>
      <c r="U36" s="302"/>
      <c r="V36" s="302"/>
      <c r="W36" s="302"/>
    </row>
    <row r="37" spans="1:23" s="265" customFormat="1">
      <c r="A37" s="294"/>
      <c r="B37" s="295" t="s">
        <v>262</v>
      </c>
      <c r="C37" s="296"/>
      <c r="D37" s="297"/>
      <c r="E37" s="298"/>
      <c r="F37" s="298"/>
      <c r="G37" s="298"/>
      <c r="H37" s="298"/>
      <c r="I37" s="298"/>
      <c r="J37" s="298"/>
      <c r="K37" s="298"/>
      <c r="L37" s="298"/>
      <c r="M37" s="298"/>
      <c r="N37" s="298"/>
      <c r="O37" s="298"/>
      <c r="P37" s="298"/>
      <c r="Q37" s="298"/>
      <c r="R37" s="298"/>
      <c r="S37" s="298"/>
      <c r="T37" s="298"/>
      <c r="U37" s="298"/>
      <c r="V37" s="298"/>
      <c r="W37" s="298"/>
    </row>
    <row r="38" spans="1:23" s="265" customFormat="1">
      <c r="A38" s="316"/>
      <c r="B38" s="316"/>
      <c r="C38" s="317"/>
      <c r="D38" s="318"/>
      <c r="E38" s="349" t="str">
        <f xml:space="preserve"> InpC!E$31</f>
        <v>Building and Freehold Land - depreciable basis - Initial balance</v>
      </c>
      <c r="F38" s="349">
        <f xml:space="preserve"> InpC!F$31</f>
        <v>3047148</v>
      </c>
      <c r="G38" s="349" t="str">
        <f xml:space="preserve"> InpC!G$31</f>
        <v>Kes '000'</v>
      </c>
      <c r="H38" s="319"/>
      <c r="I38" s="319"/>
      <c r="J38" s="319"/>
      <c r="K38" s="319"/>
      <c r="L38" s="319"/>
      <c r="M38" s="319"/>
      <c r="N38" s="319"/>
      <c r="O38" s="319"/>
      <c r="P38" s="319"/>
      <c r="Q38" s="319"/>
      <c r="R38" s="319"/>
      <c r="S38" s="319"/>
      <c r="T38" s="319"/>
      <c r="U38" s="319"/>
      <c r="V38" s="319"/>
      <c r="W38" s="319"/>
    </row>
    <row r="39" spans="1:23" s="265" customFormat="1">
      <c r="A39" s="262"/>
      <c r="B39" s="262"/>
      <c r="C39" s="263"/>
      <c r="D39" s="351"/>
      <c r="E39" s="350" t="str">
        <f xml:space="preserve"> Time!E$33</f>
        <v>Acquisition / initial balance date flag</v>
      </c>
      <c r="F39" s="350">
        <f xml:space="preserve"> Time!F$33</f>
        <v>0</v>
      </c>
      <c r="G39" s="350" t="str">
        <f xml:space="preserve"> Time!G$33</f>
        <v>flag</v>
      </c>
      <c r="H39" s="350">
        <f xml:space="preserve"> Time!H$33</f>
        <v>1</v>
      </c>
      <c r="I39" s="350">
        <f xml:space="preserve"> Time!I$33</f>
        <v>0</v>
      </c>
      <c r="J39" s="350">
        <f xml:space="preserve"> Time!J$33</f>
        <v>0</v>
      </c>
      <c r="K39" s="350">
        <f xml:space="preserve"> Time!K$33</f>
        <v>0</v>
      </c>
      <c r="L39" s="350">
        <f xml:space="preserve"> Time!L$33</f>
        <v>0</v>
      </c>
      <c r="M39" s="350">
        <f xml:space="preserve"> Time!M$33</f>
        <v>0</v>
      </c>
      <c r="N39" s="350">
        <f xml:space="preserve"> Time!N$33</f>
        <v>0</v>
      </c>
      <c r="O39" s="350">
        <f xml:space="preserve"> Time!O$33</f>
        <v>1</v>
      </c>
      <c r="P39" s="350">
        <f xml:space="preserve"> Time!P$33</f>
        <v>0</v>
      </c>
      <c r="Q39" s="350">
        <f xml:space="preserve"> Time!Q$33</f>
        <v>0</v>
      </c>
      <c r="R39" s="350">
        <f xml:space="preserve"> Time!R$33</f>
        <v>0</v>
      </c>
      <c r="S39" s="350">
        <f xml:space="preserve"> Time!S$33</f>
        <v>0</v>
      </c>
      <c r="T39" s="350">
        <f xml:space="preserve"> Time!T$33</f>
        <v>0</v>
      </c>
      <c r="U39" s="350">
        <f xml:space="preserve"> Time!U$33</f>
        <v>0</v>
      </c>
      <c r="V39" s="350">
        <f xml:space="preserve"> Time!V$33</f>
        <v>0</v>
      </c>
      <c r="W39" s="350">
        <f xml:space="preserve"> Time!W$33</f>
        <v>0</v>
      </c>
    </row>
    <row r="40" spans="1:23" s="265" customFormat="1">
      <c r="A40" s="320"/>
      <c r="B40" s="320"/>
      <c r="C40" s="321"/>
      <c r="D40" s="322"/>
      <c r="E40" s="323"/>
      <c r="F40" s="323"/>
      <c r="G40" s="323"/>
      <c r="H40" s="323"/>
      <c r="I40" s="323"/>
      <c r="J40" s="323"/>
      <c r="K40" s="323"/>
      <c r="L40" s="323"/>
      <c r="M40" s="323"/>
      <c r="N40" s="323"/>
      <c r="O40" s="323"/>
      <c r="P40" s="323"/>
      <c r="Q40" s="323"/>
      <c r="R40" s="323"/>
      <c r="S40" s="323"/>
      <c r="T40" s="323"/>
      <c r="U40" s="323"/>
      <c r="V40" s="323"/>
      <c r="W40" s="323"/>
    </row>
    <row r="41" spans="1:23" s="265" customFormat="1">
      <c r="A41" s="320"/>
      <c r="B41" s="320"/>
      <c r="C41" s="321"/>
      <c r="D41" s="322"/>
      <c r="E41" s="265" t="s">
        <v>263</v>
      </c>
      <c r="F41" s="323"/>
      <c r="G41" s="265" t="s">
        <v>48</v>
      </c>
      <c r="H41" s="323"/>
      <c r="I41" s="323"/>
      <c r="J41" s="323">
        <f xml:space="preserve"> I44</f>
        <v>0</v>
      </c>
      <c r="K41" s="323">
        <f t="shared" ref="K41:W41" si="7" xml:space="preserve"> J44</f>
        <v>0</v>
      </c>
      <c r="L41" s="323">
        <f t="shared" si="7"/>
        <v>0</v>
      </c>
      <c r="M41" s="323">
        <f t="shared" si="7"/>
        <v>0</v>
      </c>
      <c r="N41" s="323">
        <f t="shared" si="7"/>
        <v>0</v>
      </c>
      <c r="O41" s="323">
        <f t="shared" si="7"/>
        <v>0</v>
      </c>
      <c r="P41" s="323">
        <f t="shared" si="7"/>
        <v>3047148</v>
      </c>
      <c r="Q41" s="323">
        <f t="shared" si="7"/>
        <v>3047148</v>
      </c>
      <c r="R41" s="323">
        <f t="shared" si="7"/>
        <v>3047148</v>
      </c>
      <c r="S41" s="323">
        <f t="shared" si="7"/>
        <v>3047148</v>
      </c>
      <c r="T41" s="323">
        <f t="shared" si="7"/>
        <v>5047148</v>
      </c>
      <c r="U41" s="323">
        <f t="shared" si="7"/>
        <v>5047148</v>
      </c>
      <c r="V41" s="323">
        <f t="shared" si="7"/>
        <v>5047148</v>
      </c>
      <c r="W41" s="323">
        <f t="shared" si="7"/>
        <v>5047148</v>
      </c>
    </row>
    <row r="42" spans="1:23" s="265" customFormat="1">
      <c r="A42" s="295"/>
      <c r="B42" s="295"/>
      <c r="C42" s="296"/>
      <c r="D42" s="309" t="s">
        <v>35</v>
      </c>
      <c r="E42" s="346" t="str">
        <f xml:space="preserve"> InpS!E$57</f>
        <v>Buildings and Freehold Land Capex POS</v>
      </c>
      <c r="F42" s="346">
        <f xml:space="preserve"> InpS!F$57</f>
        <v>0</v>
      </c>
      <c r="G42" s="346" t="str">
        <f xml:space="preserve"> InpS!G$57</f>
        <v>Kes '000'</v>
      </c>
      <c r="H42" s="346">
        <f xml:space="preserve"> InpS!H$57</f>
        <v>2000000</v>
      </c>
      <c r="I42" s="346">
        <f xml:space="preserve"> InpS!I$57</f>
        <v>0</v>
      </c>
      <c r="J42" s="346">
        <f xml:space="preserve"> InpS!J$57</f>
        <v>0</v>
      </c>
      <c r="K42" s="346">
        <f xml:space="preserve"> InpS!K$57</f>
        <v>0</v>
      </c>
      <c r="L42" s="346">
        <f xml:space="preserve"> InpS!L$57</f>
        <v>0</v>
      </c>
      <c r="M42" s="346">
        <f xml:space="preserve"> InpS!M$57</f>
        <v>0</v>
      </c>
      <c r="N42" s="346">
        <f xml:space="preserve"> InpS!N$57</f>
        <v>0</v>
      </c>
      <c r="O42" s="346">
        <f xml:space="preserve"> InpS!O$57</f>
        <v>0</v>
      </c>
      <c r="P42" s="346">
        <f xml:space="preserve"> InpS!P$57</f>
        <v>0</v>
      </c>
      <c r="Q42" s="346">
        <f xml:space="preserve"> InpS!Q$57</f>
        <v>0</v>
      </c>
      <c r="R42" s="346">
        <f xml:space="preserve"> InpS!R$57</f>
        <v>0</v>
      </c>
      <c r="S42" s="346">
        <f xml:space="preserve"> InpS!S$57</f>
        <v>2000000</v>
      </c>
      <c r="T42" s="346">
        <f xml:space="preserve"> InpS!T$57</f>
        <v>0</v>
      </c>
      <c r="U42" s="346">
        <f xml:space="preserve"> InpS!U$57</f>
        <v>0</v>
      </c>
      <c r="V42" s="346">
        <f xml:space="preserve"> InpS!V$57</f>
        <v>0</v>
      </c>
      <c r="W42" s="346">
        <f xml:space="preserve"> InpS!W$57</f>
        <v>0</v>
      </c>
    </row>
    <row r="43" spans="1:23" s="265" customFormat="1">
      <c r="A43" s="262"/>
      <c r="B43" s="262"/>
      <c r="C43" s="263"/>
      <c r="D43" s="351" t="s">
        <v>36</v>
      </c>
      <c r="E43" s="265" t="str">
        <f xml:space="preserve"> E35</f>
        <v>Total retirement of Building and Freehold Land</v>
      </c>
      <c r="F43" s="265">
        <f t="shared" ref="F43:J43" si="8" xml:space="preserve"> F35</f>
        <v>0</v>
      </c>
      <c r="G43" s="265" t="str">
        <f t="shared" si="8"/>
        <v>Kes '000'</v>
      </c>
      <c r="H43" s="265">
        <f t="shared" si="8"/>
        <v>0</v>
      </c>
      <c r="I43" s="265">
        <f t="shared" si="8"/>
        <v>0</v>
      </c>
      <c r="J43" s="265">
        <f t="shared" si="8"/>
        <v>0</v>
      </c>
      <c r="K43" s="265">
        <f t="shared" ref="K43:W43" si="9" xml:space="preserve"> K35</f>
        <v>0</v>
      </c>
      <c r="L43" s="265">
        <f t="shared" si="9"/>
        <v>0</v>
      </c>
      <c r="M43" s="265">
        <f t="shared" si="9"/>
        <v>0</v>
      </c>
      <c r="N43" s="265">
        <f t="shared" si="9"/>
        <v>0</v>
      </c>
      <c r="O43" s="265">
        <f t="shared" si="9"/>
        <v>0</v>
      </c>
      <c r="P43" s="265">
        <f t="shared" si="9"/>
        <v>0</v>
      </c>
      <c r="Q43" s="265">
        <f t="shared" si="9"/>
        <v>0</v>
      </c>
      <c r="R43" s="265">
        <f t="shared" si="9"/>
        <v>0</v>
      </c>
      <c r="S43" s="265">
        <f t="shared" si="9"/>
        <v>0</v>
      </c>
      <c r="T43" s="265">
        <f t="shared" si="9"/>
        <v>0</v>
      </c>
      <c r="U43" s="265">
        <f t="shared" si="9"/>
        <v>0</v>
      </c>
      <c r="V43" s="265">
        <f t="shared" si="9"/>
        <v>0</v>
      </c>
      <c r="W43" s="265">
        <f t="shared" si="9"/>
        <v>0</v>
      </c>
    </row>
    <row r="44" spans="1:23" s="265" customFormat="1">
      <c r="A44" s="325"/>
      <c r="B44" s="325"/>
      <c r="C44" s="326"/>
      <c r="D44" s="327"/>
      <c r="E44" s="328" t="s">
        <v>264</v>
      </c>
      <c r="F44" s="329"/>
      <c r="G44" s="328" t="s">
        <v>48</v>
      </c>
      <c r="H44" s="329"/>
      <c r="I44" s="330"/>
      <c r="J44" s="329">
        <f xml:space="preserve"> IF( J39 = 1, $F38, J41 + J42 - J43)</f>
        <v>0</v>
      </c>
      <c r="K44" s="329">
        <f t="shared" ref="K44:W44" si="10" xml:space="preserve"> IF( K39 = 1, $F38, K41 + K42 - K43)</f>
        <v>0</v>
      </c>
      <c r="L44" s="329">
        <f t="shared" si="10"/>
        <v>0</v>
      </c>
      <c r="M44" s="329">
        <f t="shared" si="10"/>
        <v>0</v>
      </c>
      <c r="N44" s="329">
        <f t="shared" si="10"/>
        <v>0</v>
      </c>
      <c r="O44" s="329">
        <f t="shared" si="10"/>
        <v>3047148</v>
      </c>
      <c r="P44" s="329">
        <f t="shared" si="10"/>
        <v>3047148</v>
      </c>
      <c r="Q44" s="329">
        <f t="shared" si="10"/>
        <v>3047148</v>
      </c>
      <c r="R44" s="329">
        <f t="shared" si="10"/>
        <v>3047148</v>
      </c>
      <c r="S44" s="329">
        <f t="shared" si="10"/>
        <v>5047148</v>
      </c>
      <c r="T44" s="329">
        <f t="shared" si="10"/>
        <v>5047148</v>
      </c>
      <c r="U44" s="329">
        <f t="shared" si="10"/>
        <v>5047148</v>
      </c>
      <c r="V44" s="329">
        <f t="shared" si="10"/>
        <v>5047148</v>
      </c>
      <c r="W44" s="329">
        <f t="shared" si="10"/>
        <v>5047148</v>
      </c>
    </row>
    <row r="45" spans="1:23" s="265" customFormat="1">
      <c r="A45" s="320"/>
      <c r="B45" s="262"/>
      <c r="C45" s="263"/>
      <c r="D45" s="322"/>
      <c r="E45" s="323"/>
      <c r="F45" s="323"/>
      <c r="G45" s="323"/>
      <c r="H45" s="323"/>
      <c r="I45" s="323"/>
      <c r="J45" s="323"/>
      <c r="K45" s="323"/>
      <c r="L45" s="323"/>
      <c r="M45" s="323"/>
      <c r="N45" s="323"/>
      <c r="O45" s="323"/>
      <c r="P45" s="323"/>
      <c r="Q45" s="323"/>
      <c r="R45" s="323"/>
      <c r="S45" s="323"/>
      <c r="T45" s="323"/>
      <c r="U45" s="323"/>
      <c r="V45" s="323"/>
      <c r="W45" s="323"/>
    </row>
    <row r="46" spans="1:23" s="265" customFormat="1">
      <c r="A46" s="295"/>
      <c r="B46" s="295"/>
      <c r="C46" s="296"/>
      <c r="D46" s="309"/>
      <c r="E46" s="302" t="str">
        <f xml:space="preserve"> E16</f>
        <v>Useful life of Building and Freehold Land</v>
      </c>
      <c r="F46" s="302">
        <f xml:space="preserve"> F16</f>
        <v>40</v>
      </c>
      <c r="G46" s="302" t="str">
        <f xml:space="preserve"> G16</f>
        <v>periods</v>
      </c>
      <c r="H46" s="302"/>
      <c r="I46" s="302"/>
      <c r="J46" s="302"/>
      <c r="K46" s="302"/>
      <c r="L46" s="302"/>
      <c r="M46" s="302"/>
      <c r="N46" s="302"/>
      <c r="O46" s="302"/>
      <c r="P46" s="302"/>
      <c r="Q46" s="302"/>
      <c r="R46" s="302"/>
      <c r="S46" s="302"/>
      <c r="T46" s="302"/>
      <c r="U46" s="302"/>
      <c r="V46" s="302"/>
      <c r="W46" s="302"/>
    </row>
    <row r="47" spans="1:23" s="335" customFormat="1">
      <c r="A47" s="331"/>
      <c r="B47" s="332"/>
      <c r="C47" s="333"/>
      <c r="D47" s="334"/>
      <c r="E47" s="334" t="s">
        <v>265</v>
      </c>
      <c r="F47" s="334">
        <f xml:space="preserve"> 1 / F46</f>
        <v>2.5000000000000001E-2</v>
      </c>
      <c r="G47" s="334" t="s">
        <v>179</v>
      </c>
      <c r="H47" s="334"/>
      <c r="I47" s="334"/>
      <c r="J47" s="334"/>
      <c r="K47" s="334"/>
      <c r="L47" s="334"/>
      <c r="M47" s="334"/>
      <c r="N47" s="334"/>
      <c r="O47" s="334"/>
      <c r="P47" s="334"/>
      <c r="Q47" s="334"/>
      <c r="R47" s="334"/>
      <c r="S47" s="334"/>
      <c r="T47" s="334"/>
      <c r="U47" s="334"/>
      <c r="V47" s="334"/>
      <c r="W47" s="334"/>
    </row>
    <row r="48" spans="1:23" s="265" customFormat="1">
      <c r="A48" s="294"/>
      <c r="B48" s="295"/>
      <c r="C48" s="296"/>
      <c r="D48" s="297"/>
      <c r="E48" s="298"/>
      <c r="F48" s="298"/>
      <c r="G48" s="298"/>
      <c r="H48" s="298"/>
      <c r="I48" s="298"/>
      <c r="J48" s="298"/>
      <c r="K48" s="298"/>
      <c r="L48" s="298"/>
      <c r="M48" s="298"/>
      <c r="N48" s="298"/>
      <c r="O48" s="298"/>
      <c r="P48" s="298"/>
      <c r="Q48" s="298"/>
      <c r="R48" s="298"/>
      <c r="S48" s="298"/>
      <c r="T48" s="298"/>
      <c r="U48" s="298"/>
      <c r="V48" s="298"/>
      <c r="W48" s="298"/>
    </row>
    <row r="49" spans="1:23" s="335" customFormat="1">
      <c r="A49" s="332"/>
      <c r="B49" s="332"/>
      <c r="C49" s="333"/>
      <c r="D49" s="352"/>
      <c r="E49" s="352" t="str">
        <f xml:space="preserve"> E47</f>
        <v>Building and Freehold Land depreciation rate</v>
      </c>
      <c r="F49" s="352">
        <f xml:space="preserve"> F47</f>
        <v>2.5000000000000001E-2</v>
      </c>
      <c r="G49" s="352" t="str">
        <f xml:space="preserve"> G47</f>
        <v>%</v>
      </c>
      <c r="H49" s="352"/>
      <c r="I49" s="352"/>
      <c r="J49" s="352"/>
      <c r="K49" s="352"/>
      <c r="L49" s="352"/>
      <c r="M49" s="352"/>
      <c r="N49" s="352"/>
      <c r="O49" s="352"/>
      <c r="P49" s="352"/>
      <c r="Q49" s="352"/>
      <c r="R49" s="352"/>
      <c r="S49" s="352"/>
      <c r="T49" s="352"/>
      <c r="U49" s="352"/>
      <c r="V49" s="352"/>
      <c r="W49" s="352"/>
    </row>
    <row r="50" spans="1:23" s="265" customFormat="1">
      <c r="A50" s="295"/>
      <c r="B50" s="295"/>
      <c r="C50" s="296"/>
      <c r="D50" s="309"/>
      <c r="E50" s="302" t="str">
        <f t="shared" ref="E50:J50" si="11" xml:space="preserve"> E41</f>
        <v>Building and Freehold Land - depreciable basis bal BEG</v>
      </c>
      <c r="F50" s="302">
        <f t="shared" si="11"/>
        <v>0</v>
      </c>
      <c r="G50" s="302" t="str">
        <f t="shared" si="11"/>
        <v>Kes '000'</v>
      </c>
      <c r="H50" s="302">
        <f t="shared" si="11"/>
        <v>0</v>
      </c>
      <c r="I50" s="302">
        <f t="shared" si="11"/>
        <v>0</v>
      </c>
      <c r="J50" s="302">
        <f t="shared" si="11"/>
        <v>0</v>
      </c>
      <c r="K50" s="302">
        <f t="shared" ref="K50:W50" si="12" xml:space="preserve"> K41</f>
        <v>0</v>
      </c>
      <c r="L50" s="302">
        <f t="shared" si="12"/>
        <v>0</v>
      </c>
      <c r="M50" s="302">
        <f t="shared" si="12"/>
        <v>0</v>
      </c>
      <c r="N50" s="302">
        <f t="shared" si="12"/>
        <v>0</v>
      </c>
      <c r="O50" s="302">
        <f t="shared" si="12"/>
        <v>0</v>
      </c>
      <c r="P50" s="302">
        <f t="shared" si="12"/>
        <v>3047148</v>
      </c>
      <c r="Q50" s="302">
        <f t="shared" si="12"/>
        <v>3047148</v>
      </c>
      <c r="R50" s="302">
        <f t="shared" si="12"/>
        <v>3047148</v>
      </c>
      <c r="S50" s="302">
        <f t="shared" si="12"/>
        <v>3047148</v>
      </c>
      <c r="T50" s="302">
        <f t="shared" si="12"/>
        <v>5047148</v>
      </c>
      <c r="U50" s="302">
        <f t="shared" si="12"/>
        <v>5047148</v>
      </c>
      <c r="V50" s="302">
        <f t="shared" si="12"/>
        <v>5047148</v>
      </c>
      <c r="W50" s="302">
        <f t="shared" si="12"/>
        <v>5047148</v>
      </c>
    </row>
    <row r="51" spans="1:23" s="265" customFormat="1">
      <c r="A51" s="294"/>
      <c r="B51" s="295"/>
      <c r="C51" s="296"/>
      <c r="D51" s="297"/>
      <c r="E51" s="298" t="s">
        <v>266</v>
      </c>
      <c r="F51" s="298"/>
      <c r="G51" s="298" t="s">
        <v>48</v>
      </c>
      <c r="H51" s="302">
        <f xml:space="preserve"> SUM(J51:W51)</f>
        <v>809429.59999999986</v>
      </c>
      <c r="I51" s="298"/>
      <c r="J51" s="298">
        <f xml:space="preserve"> $F49 * J50</f>
        <v>0</v>
      </c>
      <c r="K51" s="298">
        <f t="shared" ref="K51:W51" si="13" xml:space="preserve"> $F49 * K50</f>
        <v>0</v>
      </c>
      <c r="L51" s="298">
        <f t="shared" si="13"/>
        <v>0</v>
      </c>
      <c r="M51" s="298">
        <f t="shared" si="13"/>
        <v>0</v>
      </c>
      <c r="N51" s="298">
        <f t="shared" si="13"/>
        <v>0</v>
      </c>
      <c r="O51" s="298">
        <f t="shared" si="13"/>
        <v>0</v>
      </c>
      <c r="P51" s="298">
        <f t="shared" si="13"/>
        <v>76178.7</v>
      </c>
      <c r="Q51" s="298">
        <f t="shared" si="13"/>
        <v>76178.7</v>
      </c>
      <c r="R51" s="298">
        <f t="shared" si="13"/>
        <v>76178.7</v>
      </c>
      <c r="S51" s="298">
        <f t="shared" si="13"/>
        <v>76178.7</v>
      </c>
      <c r="T51" s="298">
        <f t="shared" si="13"/>
        <v>126178.70000000001</v>
      </c>
      <c r="U51" s="298">
        <f t="shared" si="13"/>
        <v>126178.70000000001</v>
      </c>
      <c r="V51" s="298">
        <f t="shared" si="13"/>
        <v>126178.70000000001</v>
      </c>
      <c r="W51" s="298">
        <f t="shared" si="13"/>
        <v>126178.70000000001</v>
      </c>
    </row>
    <row r="52" spans="1:23" s="308" customFormat="1">
      <c r="A52" s="304"/>
      <c r="B52" s="304"/>
      <c r="C52" s="305"/>
      <c r="D52" s="306"/>
      <c r="E52" s="307" t="str">
        <f xml:space="preserve"> LEFT(E51, LEN(E51) - 4)</f>
        <v>Depreciation of Building and Freehold Land</v>
      </c>
      <c r="F52" s="307" t="s">
        <v>248</v>
      </c>
      <c r="G52" s="307" t="str">
        <f xml:space="preserve"> G51</f>
        <v>Kes '000'</v>
      </c>
      <c r="H52" s="344">
        <f xml:space="preserve"> SUM(J52:W52)</f>
        <v>-809429.59999999986</v>
      </c>
      <c r="I52" s="307"/>
      <c r="J52" s="307">
        <f xml:space="preserve"> -1 * J51</f>
        <v>0</v>
      </c>
      <c r="K52" s="307">
        <f t="shared" ref="K52:W52" si="14" xml:space="preserve"> -1 * K51</f>
        <v>0</v>
      </c>
      <c r="L52" s="307">
        <f t="shared" si="14"/>
        <v>0</v>
      </c>
      <c r="M52" s="307">
        <f t="shared" si="14"/>
        <v>0</v>
      </c>
      <c r="N52" s="307">
        <f t="shared" si="14"/>
        <v>0</v>
      </c>
      <c r="O52" s="307">
        <f t="shared" si="14"/>
        <v>0</v>
      </c>
      <c r="P52" s="307">
        <f t="shared" si="14"/>
        <v>-76178.7</v>
      </c>
      <c r="Q52" s="307">
        <f t="shared" si="14"/>
        <v>-76178.7</v>
      </c>
      <c r="R52" s="307">
        <f t="shared" si="14"/>
        <v>-76178.7</v>
      </c>
      <c r="S52" s="307">
        <f t="shared" si="14"/>
        <v>-76178.7</v>
      </c>
      <c r="T52" s="307">
        <f t="shared" si="14"/>
        <v>-126178.70000000001</v>
      </c>
      <c r="U52" s="307">
        <f t="shared" si="14"/>
        <v>-126178.70000000001</v>
      </c>
      <c r="V52" s="307">
        <f t="shared" si="14"/>
        <v>-126178.70000000001</v>
      </c>
      <c r="W52" s="307">
        <f t="shared" si="14"/>
        <v>-126178.70000000001</v>
      </c>
    </row>
    <row r="53" spans="1:23" s="265" customFormat="1">
      <c r="A53" s="294"/>
      <c r="B53" s="295"/>
      <c r="C53" s="296"/>
      <c r="D53" s="297"/>
      <c r="E53" s="298"/>
      <c r="F53" s="298"/>
      <c r="G53" s="298"/>
      <c r="H53" s="298"/>
      <c r="I53" s="298"/>
      <c r="J53" s="298"/>
      <c r="K53" s="298"/>
      <c r="L53" s="298"/>
      <c r="M53" s="298"/>
      <c r="N53" s="298"/>
      <c r="O53" s="298"/>
      <c r="P53" s="298"/>
      <c r="Q53" s="298"/>
      <c r="R53" s="298"/>
      <c r="S53" s="298"/>
      <c r="T53" s="298"/>
      <c r="U53" s="298"/>
      <c r="V53" s="298"/>
      <c r="W53" s="298"/>
    </row>
    <row r="54" spans="1:23" s="265" customFormat="1">
      <c r="A54" s="294"/>
      <c r="B54" s="295" t="s">
        <v>267</v>
      </c>
      <c r="C54" s="296"/>
      <c r="D54" s="297"/>
      <c r="E54" s="298"/>
      <c r="F54" s="298"/>
      <c r="G54" s="298"/>
      <c r="H54" s="298"/>
      <c r="I54" s="298"/>
      <c r="J54" s="298"/>
      <c r="K54" s="298"/>
      <c r="L54" s="298"/>
      <c r="M54" s="298"/>
      <c r="N54" s="298"/>
      <c r="O54" s="298"/>
      <c r="P54" s="298"/>
      <c r="Q54" s="298"/>
      <c r="R54" s="298"/>
      <c r="S54" s="298"/>
      <c r="T54" s="298"/>
      <c r="U54" s="298"/>
      <c r="V54" s="298"/>
      <c r="W54" s="298"/>
    </row>
    <row r="55" spans="1:23" s="265" customFormat="1">
      <c r="A55" s="316"/>
      <c r="B55" s="316"/>
      <c r="C55" s="317"/>
      <c r="D55" s="318"/>
      <c r="E55" s="349" t="str">
        <f xml:space="preserve"> InpC!E$31</f>
        <v>Building and Freehold Land - depreciable basis - Initial balance</v>
      </c>
      <c r="F55" s="349">
        <f xml:space="preserve"> InpC!F$31</f>
        <v>3047148</v>
      </c>
      <c r="G55" s="349" t="str">
        <f xml:space="preserve"> InpC!G$31</f>
        <v>Kes '000'</v>
      </c>
      <c r="H55" s="319"/>
      <c r="I55" s="319"/>
      <c r="J55" s="319"/>
      <c r="K55" s="319"/>
      <c r="L55" s="319"/>
      <c r="M55" s="319"/>
      <c r="N55" s="319"/>
      <c r="O55" s="319"/>
      <c r="P55" s="319"/>
      <c r="Q55" s="319"/>
      <c r="R55" s="319"/>
      <c r="S55" s="319"/>
      <c r="T55" s="319"/>
      <c r="U55" s="319"/>
      <c r="V55" s="319"/>
      <c r="W55" s="319"/>
    </row>
    <row r="56" spans="1:23" s="265" customFormat="1">
      <c r="A56" s="262"/>
      <c r="B56" s="262"/>
      <c r="C56" s="263"/>
      <c r="D56" s="351"/>
      <c r="E56" s="350" t="str">
        <f xml:space="preserve"> Time!E$33</f>
        <v>Acquisition / initial balance date flag</v>
      </c>
      <c r="F56" s="350">
        <f xml:space="preserve"> Time!F$33</f>
        <v>0</v>
      </c>
      <c r="G56" s="350" t="str">
        <f xml:space="preserve"> Time!G$33</f>
        <v>flag</v>
      </c>
      <c r="H56" s="350">
        <f xml:space="preserve"> Time!H$33</f>
        <v>1</v>
      </c>
      <c r="I56" s="350">
        <f xml:space="preserve"> Time!I$33</f>
        <v>0</v>
      </c>
      <c r="J56" s="350">
        <f xml:space="preserve"> Time!J$33</f>
        <v>0</v>
      </c>
      <c r="K56" s="350">
        <f xml:space="preserve"> Time!K$33</f>
        <v>0</v>
      </c>
      <c r="L56" s="350">
        <f xml:space="preserve"> Time!L$33</f>
        <v>0</v>
      </c>
      <c r="M56" s="350">
        <f xml:space="preserve"> Time!M$33</f>
        <v>0</v>
      </c>
      <c r="N56" s="350">
        <f xml:space="preserve"> Time!N$33</f>
        <v>0</v>
      </c>
      <c r="O56" s="350">
        <f xml:space="preserve"> Time!O$33</f>
        <v>1</v>
      </c>
      <c r="P56" s="350">
        <f xml:space="preserve"> Time!P$33</f>
        <v>0</v>
      </c>
      <c r="Q56" s="350">
        <f xml:space="preserve"> Time!Q$33</f>
        <v>0</v>
      </c>
      <c r="R56" s="350">
        <f xml:space="preserve"> Time!R$33</f>
        <v>0</v>
      </c>
      <c r="S56" s="350">
        <f xml:space="preserve"> Time!S$33</f>
        <v>0</v>
      </c>
      <c r="T56" s="350">
        <f xml:space="preserve"> Time!T$33</f>
        <v>0</v>
      </c>
      <c r="U56" s="350">
        <f xml:space="preserve"> Time!U$33</f>
        <v>0</v>
      </c>
      <c r="V56" s="350">
        <f xml:space="preserve"> Time!V$33</f>
        <v>0</v>
      </c>
      <c r="W56" s="350">
        <f xml:space="preserve"> Time!W$33</f>
        <v>0</v>
      </c>
    </row>
    <row r="57" spans="1:23" s="265" customFormat="1">
      <c r="A57" s="320"/>
      <c r="B57" s="320"/>
      <c r="C57" s="321"/>
      <c r="D57" s="322"/>
      <c r="E57" s="323"/>
      <c r="F57" s="323"/>
      <c r="G57" s="323"/>
      <c r="H57" s="323"/>
      <c r="I57" s="323"/>
      <c r="J57" s="323"/>
      <c r="K57" s="323"/>
      <c r="L57" s="323"/>
      <c r="M57" s="323"/>
      <c r="N57" s="323"/>
      <c r="O57" s="323"/>
      <c r="P57" s="323"/>
      <c r="Q57" s="323"/>
      <c r="R57" s="323"/>
      <c r="S57" s="323"/>
      <c r="T57" s="323"/>
      <c r="U57" s="323"/>
      <c r="V57" s="323"/>
      <c r="W57" s="323"/>
    </row>
    <row r="58" spans="1:23" s="265" customFormat="1">
      <c r="A58" s="320"/>
      <c r="B58" s="320"/>
      <c r="C58" s="321"/>
      <c r="D58" s="322"/>
      <c r="E58" s="265" t="s">
        <v>268</v>
      </c>
      <c r="F58" s="323"/>
      <c r="G58" s="265" t="s">
        <v>48</v>
      </c>
      <c r="H58" s="323"/>
      <c r="I58" s="323"/>
      <c r="J58" s="323">
        <f xml:space="preserve"> I61</f>
        <v>0</v>
      </c>
      <c r="K58" s="323">
        <f t="shared" ref="K58:W58" si="15" xml:space="preserve"> J61</f>
        <v>0</v>
      </c>
      <c r="L58" s="323">
        <f t="shared" si="15"/>
        <v>0</v>
      </c>
      <c r="M58" s="323">
        <f t="shared" si="15"/>
        <v>0</v>
      </c>
      <c r="N58" s="323">
        <f t="shared" si="15"/>
        <v>0</v>
      </c>
      <c r="O58" s="323">
        <f t="shared" si="15"/>
        <v>0</v>
      </c>
      <c r="P58" s="323">
        <f t="shared" si="15"/>
        <v>3047148</v>
      </c>
      <c r="Q58" s="323">
        <f t="shared" si="15"/>
        <v>2970969.3</v>
      </c>
      <c r="R58" s="323">
        <f t="shared" si="15"/>
        <v>2894790.5999999996</v>
      </c>
      <c r="S58" s="323">
        <f t="shared" si="15"/>
        <v>2818611.8999999994</v>
      </c>
      <c r="T58" s="323">
        <f t="shared" si="15"/>
        <v>4742433.1999999993</v>
      </c>
      <c r="U58" s="323">
        <f t="shared" si="15"/>
        <v>4616254.4999999991</v>
      </c>
      <c r="V58" s="323">
        <f t="shared" si="15"/>
        <v>4490075.7999999989</v>
      </c>
      <c r="W58" s="323">
        <f t="shared" si="15"/>
        <v>4363897.0999999987</v>
      </c>
    </row>
    <row r="59" spans="1:23" s="265" customFormat="1">
      <c r="A59" s="295"/>
      <c r="B59" s="295"/>
      <c r="C59" s="296"/>
      <c r="D59" s="309" t="s">
        <v>35</v>
      </c>
      <c r="E59" s="346" t="str">
        <f xml:space="preserve"> InpS!E$57</f>
        <v>Buildings and Freehold Land Capex POS</v>
      </c>
      <c r="F59" s="346">
        <f xml:space="preserve"> InpS!F$57</f>
        <v>0</v>
      </c>
      <c r="G59" s="346" t="str">
        <f xml:space="preserve"> InpS!G$57</f>
        <v>Kes '000'</v>
      </c>
      <c r="H59" s="346">
        <f xml:space="preserve"> InpS!H$57</f>
        <v>2000000</v>
      </c>
      <c r="I59" s="346">
        <f xml:space="preserve"> InpS!I$57</f>
        <v>0</v>
      </c>
      <c r="J59" s="346">
        <f xml:space="preserve"> InpS!J$57</f>
        <v>0</v>
      </c>
      <c r="K59" s="346">
        <f xml:space="preserve"> InpS!K$57</f>
        <v>0</v>
      </c>
      <c r="L59" s="346">
        <f xml:space="preserve"> InpS!L$57</f>
        <v>0</v>
      </c>
      <c r="M59" s="346">
        <f xml:space="preserve"> InpS!M$57</f>
        <v>0</v>
      </c>
      <c r="N59" s="346">
        <f xml:space="preserve"> InpS!N$57</f>
        <v>0</v>
      </c>
      <c r="O59" s="346">
        <f xml:space="preserve"> InpS!O$57</f>
        <v>0</v>
      </c>
      <c r="P59" s="346">
        <f xml:space="preserve"> InpS!P$57</f>
        <v>0</v>
      </c>
      <c r="Q59" s="346">
        <f xml:space="preserve"> InpS!Q$57</f>
        <v>0</v>
      </c>
      <c r="R59" s="346">
        <f xml:space="preserve"> InpS!R$57</f>
        <v>0</v>
      </c>
      <c r="S59" s="346">
        <f xml:space="preserve"> InpS!S$57</f>
        <v>2000000</v>
      </c>
      <c r="T59" s="346">
        <f xml:space="preserve"> InpS!T$57</f>
        <v>0</v>
      </c>
      <c r="U59" s="346">
        <f xml:space="preserve"> InpS!U$57</f>
        <v>0</v>
      </c>
      <c r="V59" s="346">
        <f xml:space="preserve"> InpS!V$57</f>
        <v>0</v>
      </c>
      <c r="W59" s="346">
        <f xml:space="preserve"> InpS!W$57</f>
        <v>0</v>
      </c>
    </row>
    <row r="60" spans="1:23" s="265" customFormat="1">
      <c r="A60" s="262"/>
      <c r="B60" s="262"/>
      <c r="C60" s="263"/>
      <c r="D60" s="351" t="s">
        <v>36</v>
      </c>
      <c r="E60" s="265" t="str">
        <f xml:space="preserve"> E51</f>
        <v>Depreciation of Building and Freehold Land POS</v>
      </c>
      <c r="F60" s="265">
        <f t="shared" ref="F60:J60" si="16" xml:space="preserve"> F51</f>
        <v>0</v>
      </c>
      <c r="G60" s="265" t="str">
        <f t="shared" si="16"/>
        <v>Kes '000'</v>
      </c>
      <c r="H60" s="265">
        <f t="shared" si="16"/>
        <v>809429.59999999986</v>
      </c>
      <c r="I60" s="265">
        <f t="shared" si="16"/>
        <v>0</v>
      </c>
      <c r="J60" s="265">
        <f t="shared" si="16"/>
        <v>0</v>
      </c>
      <c r="K60" s="265">
        <f t="shared" ref="K60:W60" si="17" xml:space="preserve"> K51</f>
        <v>0</v>
      </c>
      <c r="L60" s="265">
        <f t="shared" si="17"/>
        <v>0</v>
      </c>
      <c r="M60" s="265">
        <f t="shared" si="17"/>
        <v>0</v>
      </c>
      <c r="N60" s="265">
        <f t="shared" si="17"/>
        <v>0</v>
      </c>
      <c r="O60" s="265">
        <f t="shared" si="17"/>
        <v>0</v>
      </c>
      <c r="P60" s="265">
        <f t="shared" si="17"/>
        <v>76178.7</v>
      </c>
      <c r="Q60" s="265">
        <f t="shared" si="17"/>
        <v>76178.7</v>
      </c>
      <c r="R60" s="265">
        <f t="shared" si="17"/>
        <v>76178.7</v>
      </c>
      <c r="S60" s="265">
        <f t="shared" si="17"/>
        <v>76178.7</v>
      </c>
      <c r="T60" s="265">
        <f t="shared" si="17"/>
        <v>126178.70000000001</v>
      </c>
      <c r="U60" s="265">
        <f t="shared" si="17"/>
        <v>126178.70000000001</v>
      </c>
      <c r="V60" s="265">
        <f t="shared" si="17"/>
        <v>126178.70000000001</v>
      </c>
      <c r="W60" s="265">
        <f t="shared" si="17"/>
        <v>126178.70000000001</v>
      </c>
    </row>
    <row r="61" spans="1:23" s="308" customFormat="1">
      <c r="A61" s="336"/>
      <c r="B61" s="336"/>
      <c r="C61" s="337"/>
      <c r="D61" s="338"/>
      <c r="E61" s="339" t="s">
        <v>269</v>
      </c>
      <c r="F61" s="340" t="s">
        <v>251</v>
      </c>
      <c r="G61" s="339" t="s">
        <v>48</v>
      </c>
      <c r="H61" s="340"/>
      <c r="I61" s="341"/>
      <c r="J61" s="340">
        <f xml:space="preserve"> IF( J56 = 1, $F55, J58 + J59 - J60)</f>
        <v>0</v>
      </c>
      <c r="K61" s="340">
        <f t="shared" ref="K61:W61" si="18" xml:space="preserve"> IF( K56 = 1, $F55, K58 + K59 - K60)</f>
        <v>0</v>
      </c>
      <c r="L61" s="340">
        <f t="shared" si="18"/>
        <v>0</v>
      </c>
      <c r="M61" s="340">
        <f t="shared" si="18"/>
        <v>0</v>
      </c>
      <c r="N61" s="340">
        <f t="shared" si="18"/>
        <v>0</v>
      </c>
      <c r="O61" s="340">
        <f xml:space="preserve"> IF( O56 = 1, $F55, O58 + O59 - O60)</f>
        <v>3047148</v>
      </c>
      <c r="P61" s="340">
        <f t="shared" si="18"/>
        <v>2970969.3</v>
      </c>
      <c r="Q61" s="340">
        <f t="shared" si="18"/>
        <v>2894790.5999999996</v>
      </c>
      <c r="R61" s="340">
        <f t="shared" si="18"/>
        <v>2818611.8999999994</v>
      </c>
      <c r="S61" s="340">
        <f t="shared" si="18"/>
        <v>4742433.1999999993</v>
      </c>
      <c r="T61" s="340">
        <f t="shared" si="18"/>
        <v>4616254.4999999991</v>
      </c>
      <c r="U61" s="340">
        <f t="shared" si="18"/>
        <v>4490075.7999999989</v>
      </c>
      <c r="V61" s="340">
        <f t="shared" si="18"/>
        <v>4363897.0999999987</v>
      </c>
      <c r="W61" s="340">
        <f t="shared" si="18"/>
        <v>4237718.3999999985</v>
      </c>
    </row>
    <row r="63" spans="1:23" s="324" customFormat="1">
      <c r="A63" s="311" t="s">
        <v>273</v>
      </c>
      <c r="B63" s="311"/>
      <c r="C63" s="312"/>
      <c r="D63" s="313"/>
      <c r="E63" s="314"/>
      <c r="F63" s="314"/>
      <c r="G63" s="314"/>
      <c r="H63" s="314"/>
      <c r="I63" s="314"/>
      <c r="J63" s="314"/>
    </row>
    <row r="64" spans="1:23" s="265" customFormat="1">
      <c r="A64" s="294"/>
      <c r="B64" s="295"/>
      <c r="C64" s="296"/>
      <c r="D64" s="297"/>
      <c r="E64" s="298"/>
      <c r="F64" s="298"/>
      <c r="G64" s="298"/>
      <c r="H64" s="298"/>
      <c r="I64" s="298"/>
      <c r="J64" s="298"/>
    </row>
    <row r="65" spans="1:23" s="265" customFormat="1">
      <c r="A65" s="294"/>
      <c r="B65" s="295" t="s">
        <v>274</v>
      </c>
      <c r="C65" s="296"/>
      <c r="D65" s="297"/>
      <c r="E65" s="298"/>
      <c r="F65" s="298"/>
      <c r="G65" s="298"/>
      <c r="H65" s="298"/>
      <c r="I65" s="298"/>
      <c r="J65" s="298"/>
    </row>
    <row r="66" spans="1:23" s="303" customFormat="1">
      <c r="A66" s="299"/>
      <c r="B66" s="299"/>
      <c r="C66" s="300"/>
      <c r="D66" s="301"/>
      <c r="E66" s="346" t="str">
        <f xml:space="preserve"> InpS!E$58</f>
        <v>Plant &amp; Machinery capex POS</v>
      </c>
      <c r="F66" s="346">
        <f xml:space="preserve"> InpS!F$58</f>
        <v>0</v>
      </c>
      <c r="G66" s="346" t="str">
        <f xml:space="preserve"> InpS!G$58</f>
        <v>Kes '000'</v>
      </c>
      <c r="H66" s="346">
        <f xml:space="preserve"> InpS!H$58</f>
        <v>2500000</v>
      </c>
      <c r="I66" s="346">
        <f xml:space="preserve"> InpS!I$58</f>
        <v>0</v>
      </c>
      <c r="J66" s="346">
        <f xml:space="preserve"> InpS!J$58</f>
        <v>0</v>
      </c>
      <c r="K66" s="346">
        <f xml:space="preserve"> InpS!K$58</f>
        <v>0</v>
      </c>
      <c r="L66" s="346">
        <f xml:space="preserve"> InpS!L$58</f>
        <v>0</v>
      </c>
      <c r="M66" s="346">
        <f xml:space="preserve"> InpS!M$58</f>
        <v>0</v>
      </c>
      <c r="N66" s="346">
        <f xml:space="preserve"> InpS!N$58</f>
        <v>0</v>
      </c>
      <c r="O66" s="346">
        <f xml:space="preserve"> InpS!O$58</f>
        <v>0</v>
      </c>
      <c r="P66" s="346">
        <f xml:space="preserve"> InpS!P$58</f>
        <v>1000000</v>
      </c>
      <c r="Q66" s="346">
        <f xml:space="preserve"> InpS!Q$58</f>
        <v>500000</v>
      </c>
      <c r="R66" s="346">
        <f xml:space="preserve"> InpS!R$58</f>
        <v>500000</v>
      </c>
      <c r="S66" s="346">
        <f xml:space="preserve"> InpS!S$58</f>
        <v>500000</v>
      </c>
      <c r="T66" s="346">
        <f xml:space="preserve"> InpS!T$58</f>
        <v>0</v>
      </c>
      <c r="U66" s="346">
        <f xml:space="preserve"> InpS!U$58</f>
        <v>0</v>
      </c>
      <c r="V66" s="346">
        <f xml:space="preserve"> InpS!V$58</f>
        <v>0</v>
      </c>
      <c r="W66" s="346">
        <f xml:space="preserve"> InpS!W$58</f>
        <v>0</v>
      </c>
    </row>
    <row r="67" spans="1:23" s="308" customFormat="1">
      <c r="A67" s="304"/>
      <c r="B67" s="304"/>
      <c r="C67" s="305"/>
      <c r="D67" s="306"/>
      <c r="E67" s="307" t="str">
        <f xml:space="preserve"> LEFT(E66, LEN(E66) - 4)</f>
        <v>Plant &amp; Machinery capex</v>
      </c>
      <c r="F67" s="307" t="s">
        <v>248</v>
      </c>
      <c r="G67" s="307" t="str">
        <f xml:space="preserve"> G66</f>
        <v>Kes '000'</v>
      </c>
      <c r="H67" s="344">
        <f xml:space="preserve"> SUM(J67:W67)</f>
        <v>-2500000</v>
      </c>
      <c r="I67" s="307"/>
      <c r="J67" s="307">
        <f xml:space="preserve"> -1 * J66</f>
        <v>0</v>
      </c>
      <c r="K67" s="307">
        <f t="shared" ref="K67:W67" si="19" xml:space="preserve"> -1 * K66</f>
        <v>0</v>
      </c>
      <c r="L67" s="307">
        <f t="shared" si="19"/>
        <v>0</v>
      </c>
      <c r="M67" s="307">
        <f t="shared" si="19"/>
        <v>0</v>
      </c>
      <c r="N67" s="307">
        <f t="shared" si="19"/>
        <v>0</v>
      </c>
      <c r="O67" s="307">
        <f t="shared" si="19"/>
        <v>0</v>
      </c>
      <c r="P67" s="307">
        <f t="shared" si="19"/>
        <v>-1000000</v>
      </c>
      <c r="Q67" s="307">
        <f t="shared" si="19"/>
        <v>-500000</v>
      </c>
      <c r="R67" s="307">
        <f t="shared" si="19"/>
        <v>-500000</v>
      </c>
      <c r="S67" s="307">
        <f t="shared" si="19"/>
        <v>-500000</v>
      </c>
      <c r="T67" s="307">
        <f t="shared" si="19"/>
        <v>0</v>
      </c>
      <c r="U67" s="307">
        <f t="shared" si="19"/>
        <v>0</v>
      </c>
      <c r="V67" s="307">
        <f t="shared" si="19"/>
        <v>0</v>
      </c>
      <c r="W67" s="307">
        <f t="shared" si="19"/>
        <v>0</v>
      </c>
    </row>
    <row r="68" spans="1:23" s="265" customFormat="1">
      <c r="A68" s="294"/>
      <c r="B68" s="295"/>
      <c r="C68" s="296"/>
      <c r="D68" s="297"/>
      <c r="E68" s="298"/>
      <c r="F68" s="298"/>
      <c r="G68" s="298"/>
      <c r="H68" s="298"/>
      <c r="I68" s="298"/>
      <c r="J68" s="298"/>
    </row>
    <row r="69" spans="1:23" s="265" customFormat="1">
      <c r="A69" s="294"/>
      <c r="B69" s="295" t="s">
        <v>276</v>
      </c>
      <c r="C69" s="296"/>
      <c r="D69" s="297"/>
      <c r="E69" s="298"/>
      <c r="F69" s="298"/>
      <c r="G69" s="298"/>
      <c r="H69" s="298"/>
      <c r="I69" s="298"/>
      <c r="J69" s="298"/>
    </row>
    <row r="70" spans="1:23" s="265" customFormat="1">
      <c r="A70" s="295"/>
      <c r="B70" s="295"/>
      <c r="C70" s="296"/>
      <c r="D70" s="309"/>
      <c r="E70" s="346" t="str">
        <f xml:space="preserve"> InpC!E$35</f>
        <v>Useful life of Plant &amp; Machinery</v>
      </c>
      <c r="F70" s="346">
        <f xml:space="preserve"> InpC!F$35</f>
        <v>9</v>
      </c>
      <c r="G70" s="346" t="str">
        <f xml:space="preserve"> InpC!G$35</f>
        <v>years</v>
      </c>
      <c r="H70" s="302"/>
      <c r="I70" s="302"/>
      <c r="J70" s="302"/>
    </row>
    <row r="71" spans="1:23" s="260" customFormat="1">
      <c r="A71" s="257"/>
      <c r="B71" s="257"/>
      <c r="C71" s="258"/>
      <c r="D71" s="259"/>
      <c r="E71" s="345" t="str">
        <f xml:space="preserve"> InpC!E$23</f>
        <v>Annual to semi annual conversion factor</v>
      </c>
      <c r="F71" s="345">
        <f xml:space="preserve"> InpC!F$23</f>
        <v>1</v>
      </c>
      <c r="G71" s="345" t="str">
        <f xml:space="preserve"> InpC!G$23</f>
        <v>factor</v>
      </c>
      <c r="H71" s="259"/>
      <c r="I71" s="259"/>
      <c r="J71" s="259"/>
    </row>
    <row r="72" spans="1:23" s="265" customFormat="1">
      <c r="A72" s="294"/>
      <c r="B72" s="295"/>
      <c r="C72" s="296"/>
      <c r="D72" s="297"/>
      <c r="E72" s="298" t="s">
        <v>277</v>
      </c>
      <c r="F72" s="298">
        <f xml:space="preserve"> F70 / F71</f>
        <v>9</v>
      </c>
      <c r="G72" s="298" t="s">
        <v>249</v>
      </c>
      <c r="H72" s="298"/>
      <c r="I72" s="298"/>
      <c r="J72" s="298"/>
    </row>
    <row r="73" spans="1:23" s="265" customFormat="1">
      <c r="A73" s="294"/>
      <c r="B73" s="295"/>
      <c r="C73" s="296"/>
      <c r="D73" s="297"/>
      <c r="E73" s="298"/>
      <c r="F73" s="298"/>
      <c r="G73" s="298"/>
      <c r="H73" s="298"/>
      <c r="I73" s="298"/>
      <c r="J73" s="298"/>
    </row>
    <row r="74" spans="1:23" s="265" customFormat="1">
      <c r="A74" s="294"/>
      <c r="B74" s="295"/>
      <c r="C74" s="296" t="s">
        <v>278</v>
      </c>
      <c r="D74" s="297"/>
      <c r="E74" s="298"/>
      <c r="F74" s="298"/>
      <c r="G74" s="298"/>
      <c r="H74" s="298"/>
      <c r="I74" s="298"/>
      <c r="J74" s="298"/>
    </row>
    <row r="75" spans="1:23" s="265" customFormat="1">
      <c r="A75" s="295"/>
      <c r="B75" s="295"/>
      <c r="C75" s="296"/>
      <c r="D75" s="309"/>
      <c r="E75" s="302" t="str">
        <f xml:space="preserve"> E72</f>
        <v>Useful life of Plant &amp; Machinery</v>
      </c>
      <c r="F75" s="302">
        <f xml:space="preserve"> F72</f>
        <v>9</v>
      </c>
      <c r="G75" s="302" t="str">
        <f xml:space="preserve"> G72</f>
        <v>periods</v>
      </c>
      <c r="H75" s="302"/>
      <c r="I75" s="302"/>
      <c r="J75" s="302"/>
    </row>
    <row r="76" spans="1:23" s="303" customFormat="1">
      <c r="A76" s="299"/>
      <c r="B76" s="299"/>
      <c r="C76" s="300"/>
      <c r="D76" s="301"/>
      <c r="E76" s="315" t="s">
        <v>250</v>
      </c>
      <c r="F76" s="315">
        <v>0</v>
      </c>
      <c r="G76" s="315" t="s">
        <v>20</v>
      </c>
      <c r="H76" s="315">
        <v>0</v>
      </c>
      <c r="I76" s="315">
        <v>0</v>
      </c>
      <c r="J76" s="315">
        <v>1</v>
      </c>
    </row>
    <row r="77" spans="1:23" s="303" customFormat="1">
      <c r="A77" s="299"/>
      <c r="B77" s="299"/>
      <c r="C77" s="300"/>
      <c r="D77" s="301"/>
      <c r="E77" s="346" t="str">
        <f xml:space="preserve"> InpS!E$58</f>
        <v>Plant &amp; Machinery capex POS</v>
      </c>
      <c r="F77" s="346">
        <f xml:space="preserve"> InpS!F$58</f>
        <v>0</v>
      </c>
      <c r="G77" s="346" t="str">
        <f xml:space="preserve"> InpS!G$58</f>
        <v>Kes '000'</v>
      </c>
      <c r="H77" s="346">
        <f xml:space="preserve"> InpS!H$58</f>
        <v>2500000</v>
      </c>
      <c r="I77" s="346">
        <f xml:space="preserve"> InpS!I$58</f>
        <v>0</v>
      </c>
      <c r="J77" s="346">
        <f xml:space="preserve"> InpS!J$58</f>
        <v>0</v>
      </c>
      <c r="K77" s="346">
        <f xml:space="preserve"> InpS!K$58</f>
        <v>0</v>
      </c>
      <c r="L77" s="346">
        <f xml:space="preserve"> InpS!L$58</f>
        <v>0</v>
      </c>
      <c r="M77" s="346">
        <f xml:space="preserve"> InpS!M$58</f>
        <v>0</v>
      </c>
      <c r="N77" s="346">
        <f xml:space="preserve"> InpS!N$58</f>
        <v>0</v>
      </c>
      <c r="O77" s="346">
        <f xml:space="preserve"> InpS!O$58</f>
        <v>0</v>
      </c>
      <c r="P77" s="346">
        <f xml:space="preserve"> InpS!P$58</f>
        <v>1000000</v>
      </c>
      <c r="Q77" s="346">
        <f xml:space="preserve"> InpS!Q$58</f>
        <v>500000</v>
      </c>
      <c r="R77" s="346">
        <f xml:space="preserve"> InpS!R$58</f>
        <v>500000</v>
      </c>
      <c r="S77" s="346">
        <f xml:space="preserve"> InpS!S$58</f>
        <v>500000</v>
      </c>
      <c r="T77" s="346">
        <f xml:space="preserve"> InpS!T$58</f>
        <v>0</v>
      </c>
      <c r="U77" s="346">
        <f xml:space="preserve"> InpS!U$58</f>
        <v>0</v>
      </c>
      <c r="V77" s="346">
        <f xml:space="preserve"> InpS!V$58</f>
        <v>0</v>
      </c>
      <c r="W77" s="346">
        <f xml:space="preserve"> InpS!W$58</f>
        <v>0</v>
      </c>
    </row>
    <row r="78" spans="1:23" s="265" customFormat="1">
      <c r="A78" s="294"/>
      <c r="B78" s="295"/>
      <c r="C78" s="296"/>
      <c r="D78" s="297"/>
      <c r="E78" s="298" t="s">
        <v>279</v>
      </c>
      <c r="F78" s="298"/>
      <c r="G78" s="298" t="s">
        <v>48</v>
      </c>
      <c r="H78" s="302">
        <f xml:space="preserve"> SUM(J78:W78)</f>
        <v>0</v>
      </c>
      <c r="I78" s="298"/>
      <c r="J78" s="298">
        <f xml:space="preserve"> SUMIF($J76:J76, J76 - $F75, $J77:J77)</f>
        <v>0</v>
      </c>
      <c r="K78" s="298">
        <f xml:space="preserve"> SUMIF($J76:K76, K76 - $F75, $J77:K77)</f>
        <v>0</v>
      </c>
      <c r="L78" s="298">
        <f xml:space="preserve"> SUMIF($J76:L76, L76 - $F75, $J77:L77)</f>
        <v>0</v>
      </c>
      <c r="M78" s="298">
        <f xml:space="preserve"> SUMIF($J76:M76, M76 - $F75, $J77:M77)</f>
        <v>0</v>
      </c>
      <c r="N78" s="298">
        <f xml:space="preserve"> SUMIF($J76:N76, N76 - $F75, $J77:N77)</f>
        <v>0</v>
      </c>
      <c r="O78" s="298">
        <f xml:space="preserve"> SUMIF($J76:O76, O76 - $F75, $J77:O77)</f>
        <v>0</v>
      </c>
      <c r="P78" s="298">
        <f xml:space="preserve"> SUMIF($J76:P76, P76 - $F75, $J77:P77)</f>
        <v>0</v>
      </c>
      <c r="Q78" s="298">
        <f xml:space="preserve"> SUMIF($J76:Q76, Q76 - $F75, $J77:Q77)</f>
        <v>0</v>
      </c>
      <c r="R78" s="298">
        <f xml:space="preserve"> SUMIF($J76:R76, R76 - $F75, $J77:R77)</f>
        <v>0</v>
      </c>
      <c r="S78" s="298">
        <f xml:space="preserve"> SUMIF($J76:S76, S76 - $F75, $J77:S77)</f>
        <v>0</v>
      </c>
      <c r="T78" s="298">
        <f xml:space="preserve"> SUMIF($J76:T76, T76 - $F75, $J77:T77)</f>
        <v>0</v>
      </c>
      <c r="U78" s="298">
        <f xml:space="preserve"> SUMIF($J76:U76, U76 - $F75, $J77:U77)</f>
        <v>0</v>
      </c>
      <c r="V78" s="298">
        <f xml:space="preserve"> SUMIF($J76:V76, V76 - $F75, $J77:V77)</f>
        <v>0</v>
      </c>
      <c r="W78" s="298">
        <f xml:space="preserve"> SUMIF($J76:W76, W76 - $F75, $J77:W77)</f>
        <v>0</v>
      </c>
    </row>
    <row r="79" spans="1:23" s="265" customFormat="1">
      <c r="A79" s="295"/>
      <c r="B79" s="295"/>
      <c r="C79" s="296"/>
      <c r="D79" s="309"/>
      <c r="E79" s="302"/>
      <c r="F79" s="302"/>
      <c r="G79" s="302"/>
      <c r="H79" s="302"/>
      <c r="I79" s="302"/>
      <c r="J79" s="302"/>
    </row>
    <row r="80" spans="1:23" s="265" customFormat="1">
      <c r="A80" s="295"/>
      <c r="B80" s="295"/>
      <c r="C80" s="296" t="s">
        <v>280</v>
      </c>
      <c r="D80" s="309"/>
      <c r="E80" s="302"/>
      <c r="F80" s="302"/>
      <c r="G80" s="302"/>
      <c r="H80" s="302"/>
      <c r="I80" s="302"/>
      <c r="J80" s="302"/>
    </row>
    <row r="81" spans="1:256" s="265" customFormat="1">
      <c r="A81" s="295"/>
      <c r="B81" s="295"/>
      <c r="C81" s="296"/>
      <c r="D81" s="309"/>
      <c r="E81" s="302" t="str">
        <f>E72</f>
        <v>Useful life of Plant &amp; Machinery</v>
      </c>
      <c r="F81" s="302">
        <f>F72</f>
        <v>9</v>
      </c>
      <c r="G81" s="302" t="str">
        <f>G72</f>
        <v>periods</v>
      </c>
      <c r="H81" s="302"/>
      <c r="I81" s="302"/>
      <c r="J81" s="302"/>
    </row>
    <row r="82" spans="1:256" s="303" customFormat="1">
      <c r="A82" s="299"/>
      <c r="B82" s="299"/>
      <c r="C82" s="300"/>
      <c r="D82" s="301"/>
      <c r="E82" s="315" t="s">
        <v>250</v>
      </c>
      <c r="F82" s="315">
        <v>0</v>
      </c>
      <c r="G82" s="315" t="s">
        <v>20</v>
      </c>
      <c r="H82" s="315">
        <v>0</v>
      </c>
      <c r="I82" s="315">
        <v>0</v>
      </c>
      <c r="J82" s="315">
        <v>1</v>
      </c>
    </row>
    <row r="83" spans="1:256" s="303" customFormat="1">
      <c r="A83" s="299"/>
      <c r="B83" s="299"/>
      <c r="C83" s="300"/>
      <c r="D83" s="301"/>
      <c r="E83" s="315"/>
      <c r="F83" s="315"/>
      <c r="G83" s="315"/>
      <c r="H83" s="315"/>
      <c r="I83" s="315"/>
      <c r="J83" s="315"/>
    </row>
    <row r="84" spans="1:256" s="265" customFormat="1">
      <c r="A84" s="316"/>
      <c r="B84" s="316"/>
      <c r="C84" s="317"/>
      <c r="D84" s="318"/>
      <c r="E84" s="349" t="str">
        <f xml:space="preserve"> InpC!E$36</f>
        <v>Plant &amp; Machinery - depreciable basis - Initial balance</v>
      </c>
      <c r="F84" s="349">
        <f xml:space="preserve"> InpC!F$36</f>
        <v>5407045</v>
      </c>
      <c r="G84" s="349" t="str">
        <f xml:space="preserve"> InpC!G$36</f>
        <v>Kes '000'</v>
      </c>
      <c r="H84" s="319"/>
      <c r="I84" s="319"/>
      <c r="J84" s="319"/>
    </row>
    <row r="85" spans="1:256" s="265" customFormat="1">
      <c r="A85" s="262"/>
      <c r="B85" s="262"/>
      <c r="C85" s="263"/>
      <c r="D85" s="351"/>
      <c r="E85" s="350" t="str">
        <f xml:space="preserve"> Time!E$33</f>
        <v>Acquisition / initial balance date flag</v>
      </c>
      <c r="F85" s="350">
        <f xml:space="preserve"> Time!F$33</f>
        <v>0</v>
      </c>
      <c r="G85" s="350" t="str">
        <f xml:space="preserve"> Time!G$33</f>
        <v>flag</v>
      </c>
      <c r="H85" s="350">
        <f xml:space="preserve"> Time!H$33</f>
        <v>1</v>
      </c>
      <c r="I85" s="350">
        <f xml:space="preserve"> Time!I$33</f>
        <v>0</v>
      </c>
      <c r="J85" s="350">
        <f xml:space="preserve"> Time!J$33</f>
        <v>0</v>
      </c>
      <c r="K85" s="350">
        <f xml:space="preserve"> Time!K$33</f>
        <v>0</v>
      </c>
      <c r="L85" s="350">
        <f xml:space="preserve"> Time!L$33</f>
        <v>0</v>
      </c>
      <c r="M85" s="350">
        <f xml:space="preserve"> Time!M$33</f>
        <v>0</v>
      </c>
      <c r="N85" s="350">
        <f xml:space="preserve"> Time!N$33</f>
        <v>0</v>
      </c>
      <c r="O85" s="350">
        <f xml:space="preserve"> Time!O$33</f>
        <v>1</v>
      </c>
      <c r="P85" s="350">
        <f xml:space="preserve"> Time!P$33</f>
        <v>0</v>
      </c>
      <c r="Q85" s="350">
        <f xml:space="preserve"> Time!Q$33</f>
        <v>0</v>
      </c>
      <c r="R85" s="350">
        <f xml:space="preserve"> Time!R$33</f>
        <v>0</v>
      </c>
      <c r="S85" s="350">
        <f xml:space="preserve"> Time!S$33</f>
        <v>0</v>
      </c>
      <c r="T85" s="350">
        <f xml:space="preserve"> Time!T$33</f>
        <v>0</v>
      </c>
      <c r="U85" s="350">
        <f xml:space="preserve"> Time!U$33</f>
        <v>0</v>
      </c>
      <c r="V85" s="350">
        <f xml:space="preserve"> Time!V$33</f>
        <v>0</v>
      </c>
      <c r="W85" s="350">
        <f xml:space="preserve"> Time!W$33</f>
        <v>0</v>
      </c>
    </row>
    <row r="86" spans="1:256" s="303" customFormat="1">
      <c r="A86" s="299"/>
      <c r="B86" s="299"/>
      <c r="C86" s="300"/>
      <c r="D86" s="301"/>
      <c r="E86" s="302" t="s">
        <v>282</v>
      </c>
      <c r="F86" s="302">
        <v>0</v>
      </c>
      <c r="G86" s="302" t="s">
        <v>48</v>
      </c>
      <c r="H86" s="302">
        <f xml:space="preserve"> SUM(J86:W86)</f>
        <v>5407045</v>
      </c>
      <c r="I86" s="302"/>
      <c r="J86" s="302">
        <f xml:space="preserve"> J85 * $F84</f>
        <v>0</v>
      </c>
      <c r="K86" s="302">
        <f t="shared" ref="K86:W86" si="20" xml:space="preserve"> K85 * $F84</f>
        <v>0</v>
      </c>
      <c r="L86" s="302">
        <f t="shared" si="20"/>
        <v>0</v>
      </c>
      <c r="M86" s="302">
        <f t="shared" si="20"/>
        <v>0</v>
      </c>
      <c r="N86" s="302">
        <f t="shared" si="20"/>
        <v>0</v>
      </c>
      <c r="O86" s="302">
        <f xml:space="preserve"> O85 * $F84</f>
        <v>5407045</v>
      </c>
      <c r="P86" s="302">
        <f t="shared" si="20"/>
        <v>0</v>
      </c>
      <c r="Q86" s="302">
        <f t="shared" si="20"/>
        <v>0</v>
      </c>
      <c r="R86" s="302">
        <f t="shared" si="20"/>
        <v>0</v>
      </c>
      <c r="S86" s="302">
        <f t="shared" si="20"/>
        <v>0</v>
      </c>
      <c r="T86" s="302">
        <f t="shared" si="20"/>
        <v>0</v>
      </c>
      <c r="U86" s="302">
        <f t="shared" si="20"/>
        <v>0</v>
      </c>
      <c r="V86" s="302">
        <f t="shared" si="20"/>
        <v>0</v>
      </c>
      <c r="W86" s="302">
        <f t="shared" si="20"/>
        <v>0</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row>
    <row r="87" spans="1:256" s="265" customFormat="1">
      <c r="A87" s="294"/>
      <c r="B87" s="295"/>
      <c r="C87" s="296"/>
      <c r="D87" s="297"/>
      <c r="E87" s="298" t="s">
        <v>280</v>
      </c>
      <c r="F87" s="298"/>
      <c r="G87" s="298" t="s">
        <v>48</v>
      </c>
      <c r="H87" s="302">
        <f xml:space="preserve"> SUM(J87:W87)</f>
        <v>0</v>
      </c>
      <c r="I87" s="298"/>
      <c r="J87" s="298">
        <f xml:space="preserve"> SUMIF($J82:J82, J82 - $F81, $J86:J86)</f>
        <v>0</v>
      </c>
      <c r="K87" s="298">
        <f xml:space="preserve"> SUMIF($J82:K82, K82 - $F81, $J86:K86)</f>
        <v>0</v>
      </c>
      <c r="L87" s="298">
        <f xml:space="preserve"> SUMIF($J82:L82, L82 - $F81, $J86:L86)</f>
        <v>0</v>
      </c>
      <c r="M87" s="298">
        <f xml:space="preserve"> SUMIF($J82:M82, M82 - $F81, $J86:M86)</f>
        <v>0</v>
      </c>
      <c r="N87" s="298">
        <f xml:space="preserve"> SUMIF($J82:N82, N82 - $F81, $J86:N86)</f>
        <v>0</v>
      </c>
      <c r="O87" s="298">
        <f xml:space="preserve"> SUMIF($J82:O82, O82 - $F81, $J86:O86)</f>
        <v>0</v>
      </c>
      <c r="P87" s="298">
        <f xml:space="preserve"> SUMIF($J82:P82, P82 - $F81, $J86:P86)</f>
        <v>0</v>
      </c>
      <c r="Q87" s="298">
        <f xml:space="preserve"> SUMIF($J82:Q82, Q82 - $F81, $J86:Q86)</f>
        <v>0</v>
      </c>
      <c r="R87" s="298">
        <f xml:space="preserve"> SUMIF($J82:R82, R82 - $F81, $J86:R86)</f>
        <v>0</v>
      </c>
      <c r="S87" s="298">
        <f xml:space="preserve"> SUMIF($J82:S82, S82 - $F81, $J86:S86)</f>
        <v>0</v>
      </c>
      <c r="T87" s="298">
        <f xml:space="preserve"> SUMIF($J82:T82, T82 - $F81, $J86:T86)</f>
        <v>0</v>
      </c>
      <c r="U87" s="298">
        <f xml:space="preserve"> SUMIF($J82:U82, U82 - $F81, $J86:U86)</f>
        <v>0</v>
      </c>
      <c r="V87" s="298">
        <f xml:space="preserve"> SUMIF($J82:V82, V82 - $F81, $J86:V86)</f>
        <v>0</v>
      </c>
      <c r="W87" s="298">
        <f xml:space="preserve"> SUMIF($J82:W82, W82 - $F81, $J86:W86)</f>
        <v>0</v>
      </c>
    </row>
    <row r="88" spans="1:256" s="265" customFormat="1">
      <c r="A88" s="295"/>
      <c r="B88" s="295"/>
      <c r="C88" s="296"/>
      <c r="D88" s="309"/>
      <c r="E88" s="302"/>
      <c r="F88" s="302"/>
      <c r="G88" s="302"/>
      <c r="H88" s="302"/>
      <c r="I88" s="302"/>
      <c r="J88" s="302"/>
    </row>
    <row r="89" spans="1:256" s="265" customFormat="1">
      <c r="A89" s="295"/>
      <c r="B89" s="295"/>
      <c r="C89" s="296"/>
      <c r="D89" s="309"/>
      <c r="E89" s="302" t="str">
        <f xml:space="preserve"> E78</f>
        <v>Retirement of Plant &amp; Machinery</v>
      </c>
      <c r="F89" s="302">
        <f t="shared" ref="F89:I89" si="21" xml:space="preserve"> F78</f>
        <v>0</v>
      </c>
      <c r="G89" s="302" t="str">
        <f t="shared" si="21"/>
        <v>Kes '000'</v>
      </c>
      <c r="H89" s="302">
        <f t="shared" si="21"/>
        <v>0</v>
      </c>
      <c r="I89" s="302">
        <f t="shared" si="21"/>
        <v>0</v>
      </c>
      <c r="J89" s="302">
        <f xml:space="preserve"> J78</f>
        <v>0</v>
      </c>
      <c r="K89" s="302">
        <f t="shared" ref="K89:W89" si="22" xml:space="preserve"> K78</f>
        <v>0</v>
      </c>
      <c r="L89" s="302">
        <f t="shared" si="22"/>
        <v>0</v>
      </c>
      <c r="M89" s="302">
        <f t="shared" si="22"/>
        <v>0</v>
      </c>
      <c r="N89" s="302">
        <f t="shared" si="22"/>
        <v>0</v>
      </c>
      <c r="O89" s="302">
        <f t="shared" si="22"/>
        <v>0</v>
      </c>
      <c r="P89" s="302">
        <f t="shared" si="22"/>
        <v>0</v>
      </c>
      <c r="Q89" s="302">
        <f t="shared" si="22"/>
        <v>0</v>
      </c>
      <c r="R89" s="302">
        <f t="shared" si="22"/>
        <v>0</v>
      </c>
      <c r="S89" s="302">
        <f t="shared" si="22"/>
        <v>0</v>
      </c>
      <c r="T89" s="302">
        <f t="shared" si="22"/>
        <v>0</v>
      </c>
      <c r="U89" s="302">
        <f t="shared" si="22"/>
        <v>0</v>
      </c>
      <c r="V89" s="302">
        <f t="shared" si="22"/>
        <v>0</v>
      </c>
      <c r="W89" s="302">
        <f t="shared" si="22"/>
        <v>0</v>
      </c>
    </row>
    <row r="90" spans="1:256" s="265" customFormat="1">
      <c r="A90" s="295"/>
      <c r="B90" s="295"/>
      <c r="C90" s="296"/>
      <c r="D90" s="309"/>
      <c r="E90" s="302" t="str">
        <f xml:space="preserve"> E87</f>
        <v>Retirement of historical Plant &amp; Machinery</v>
      </c>
      <c r="F90" s="302">
        <f t="shared" ref="F90:W90" si="23" xml:space="preserve"> F87</f>
        <v>0</v>
      </c>
      <c r="G90" s="302" t="str">
        <f t="shared" si="23"/>
        <v>Kes '000'</v>
      </c>
      <c r="H90" s="302">
        <f t="shared" si="23"/>
        <v>0</v>
      </c>
      <c r="I90" s="302">
        <f t="shared" si="23"/>
        <v>0</v>
      </c>
      <c r="J90" s="302">
        <f t="shared" si="23"/>
        <v>0</v>
      </c>
      <c r="K90" s="302">
        <f t="shared" si="23"/>
        <v>0</v>
      </c>
      <c r="L90" s="302">
        <f t="shared" si="23"/>
        <v>0</v>
      </c>
      <c r="M90" s="302">
        <f t="shared" si="23"/>
        <v>0</v>
      </c>
      <c r="N90" s="302">
        <f t="shared" si="23"/>
        <v>0</v>
      </c>
      <c r="O90" s="302">
        <f t="shared" si="23"/>
        <v>0</v>
      </c>
      <c r="P90" s="302">
        <f t="shared" si="23"/>
        <v>0</v>
      </c>
      <c r="Q90" s="302">
        <f t="shared" si="23"/>
        <v>0</v>
      </c>
      <c r="R90" s="302">
        <f t="shared" si="23"/>
        <v>0</v>
      </c>
      <c r="S90" s="302">
        <f t="shared" si="23"/>
        <v>0</v>
      </c>
      <c r="T90" s="302">
        <f t="shared" si="23"/>
        <v>0</v>
      </c>
      <c r="U90" s="302">
        <f t="shared" si="23"/>
        <v>0</v>
      </c>
      <c r="V90" s="302">
        <f t="shared" si="23"/>
        <v>0</v>
      </c>
      <c r="W90" s="302">
        <f t="shared" si="23"/>
        <v>0</v>
      </c>
    </row>
    <row r="91" spans="1:256" s="265" customFormat="1">
      <c r="A91" s="295"/>
      <c r="B91" s="295"/>
      <c r="C91" s="296"/>
      <c r="D91" s="309"/>
      <c r="E91" s="302" t="s">
        <v>283</v>
      </c>
      <c r="F91" s="302"/>
      <c r="G91" s="302" t="s">
        <v>48</v>
      </c>
      <c r="H91" s="302">
        <f xml:space="preserve"> SUM(H89:H90)</f>
        <v>0</v>
      </c>
      <c r="I91" s="302">
        <f>SUM(I89:I90)</f>
        <v>0</v>
      </c>
      <c r="J91" s="302">
        <f>SUM(J89:J90)</f>
        <v>0</v>
      </c>
    </row>
    <row r="92" spans="1:256" s="265" customFormat="1">
      <c r="A92" s="295"/>
      <c r="B92" s="295"/>
      <c r="C92" s="296"/>
      <c r="D92" s="309"/>
      <c r="E92" s="302"/>
      <c r="F92" s="302"/>
      <c r="G92" s="302"/>
      <c r="H92" s="302"/>
      <c r="I92" s="302"/>
      <c r="J92" s="302"/>
    </row>
    <row r="93" spans="1:256" s="265" customFormat="1">
      <c r="A93" s="294"/>
      <c r="B93" s="295" t="s">
        <v>284</v>
      </c>
      <c r="C93" s="296"/>
      <c r="D93" s="297"/>
      <c r="E93" s="298"/>
      <c r="F93" s="298"/>
      <c r="G93" s="298"/>
      <c r="H93" s="298"/>
      <c r="I93" s="298"/>
      <c r="J93" s="298"/>
    </row>
    <row r="94" spans="1:256" s="265" customFormat="1">
      <c r="A94" s="316"/>
      <c r="B94" s="316"/>
      <c r="C94" s="317"/>
      <c r="D94" s="318"/>
      <c r="E94" s="349" t="str">
        <f xml:space="preserve"> InpC!E$36</f>
        <v>Plant &amp; Machinery - depreciable basis - Initial balance</v>
      </c>
      <c r="F94" s="349">
        <f xml:space="preserve"> InpC!F$36</f>
        <v>5407045</v>
      </c>
      <c r="G94" s="349" t="str">
        <f xml:space="preserve"> InpC!G$36</f>
        <v>Kes '000'</v>
      </c>
      <c r="H94" s="319"/>
      <c r="I94" s="319"/>
      <c r="J94" s="319"/>
    </row>
    <row r="95" spans="1:256" s="265" customFormat="1">
      <c r="A95" s="262"/>
      <c r="B95" s="262"/>
      <c r="C95" s="263"/>
      <c r="D95" s="351"/>
      <c r="E95" s="350" t="str">
        <f xml:space="preserve"> Time!E$33</f>
        <v>Acquisition / initial balance date flag</v>
      </c>
      <c r="F95" s="350">
        <f xml:space="preserve"> Time!F$33</f>
        <v>0</v>
      </c>
      <c r="G95" s="350" t="str">
        <f xml:space="preserve"> Time!G$33</f>
        <v>flag</v>
      </c>
      <c r="H95" s="350">
        <f xml:space="preserve"> Time!H$33</f>
        <v>1</v>
      </c>
      <c r="I95" s="350">
        <f xml:space="preserve"> Time!I$33</f>
        <v>0</v>
      </c>
      <c r="J95" s="350">
        <f xml:space="preserve"> Time!J$33</f>
        <v>0</v>
      </c>
      <c r="K95" s="350">
        <f xml:space="preserve"> Time!K$33</f>
        <v>0</v>
      </c>
      <c r="L95" s="350">
        <f xml:space="preserve"> Time!L$33</f>
        <v>0</v>
      </c>
      <c r="M95" s="350">
        <f xml:space="preserve"> Time!M$33</f>
        <v>0</v>
      </c>
      <c r="N95" s="350">
        <f xml:space="preserve"> Time!N$33</f>
        <v>0</v>
      </c>
      <c r="O95" s="350">
        <f xml:space="preserve"> Time!O$33</f>
        <v>1</v>
      </c>
      <c r="P95" s="350">
        <f xml:space="preserve"> Time!P$33</f>
        <v>0</v>
      </c>
      <c r="Q95" s="350">
        <f xml:space="preserve"> Time!Q$33</f>
        <v>0</v>
      </c>
      <c r="R95" s="350">
        <f xml:space="preserve"> Time!R$33</f>
        <v>0</v>
      </c>
      <c r="S95" s="350">
        <f xml:space="preserve"> Time!S$33</f>
        <v>0</v>
      </c>
      <c r="T95" s="350">
        <f xml:space="preserve"> Time!T$33</f>
        <v>0</v>
      </c>
      <c r="U95" s="350">
        <f xml:space="preserve"> Time!U$33</f>
        <v>0</v>
      </c>
      <c r="V95" s="350">
        <f xml:space="preserve"> Time!V$33</f>
        <v>0</v>
      </c>
      <c r="W95" s="350">
        <f xml:space="preserve"> Time!W$33</f>
        <v>0</v>
      </c>
    </row>
    <row r="96" spans="1:256" s="265" customFormat="1">
      <c r="A96" s="320"/>
      <c r="B96" s="320"/>
      <c r="C96" s="321"/>
      <c r="D96" s="322"/>
      <c r="E96" s="323"/>
      <c r="F96" s="323"/>
      <c r="G96" s="323"/>
      <c r="H96" s="323"/>
      <c r="I96" s="323"/>
      <c r="J96" s="323"/>
    </row>
    <row r="97" spans="1:23" s="265" customFormat="1">
      <c r="A97" s="320"/>
      <c r="B97" s="320"/>
      <c r="C97" s="321"/>
      <c r="D97" s="322"/>
      <c r="E97" s="265" t="s">
        <v>285</v>
      </c>
      <c r="F97" s="323"/>
      <c r="G97" s="265" t="s">
        <v>48</v>
      </c>
      <c r="H97" s="323"/>
      <c r="I97" s="323"/>
      <c r="J97" s="323">
        <f xml:space="preserve"> I100</f>
        <v>0</v>
      </c>
      <c r="K97" s="323">
        <f t="shared" ref="K97:W97" si="24" xml:space="preserve"> J100</f>
        <v>0</v>
      </c>
      <c r="L97" s="323">
        <f t="shared" si="24"/>
        <v>0</v>
      </c>
      <c r="M97" s="323">
        <f t="shared" si="24"/>
        <v>0</v>
      </c>
      <c r="N97" s="323">
        <f t="shared" si="24"/>
        <v>0</v>
      </c>
      <c r="O97" s="323">
        <f t="shared" si="24"/>
        <v>0</v>
      </c>
      <c r="P97" s="323">
        <f xml:space="preserve"> O100</f>
        <v>5407045</v>
      </c>
      <c r="Q97" s="323">
        <f t="shared" si="24"/>
        <v>6407045</v>
      </c>
      <c r="R97" s="323">
        <f t="shared" si="24"/>
        <v>6907045</v>
      </c>
      <c r="S97" s="323">
        <f t="shared" si="24"/>
        <v>7407045</v>
      </c>
      <c r="T97" s="323">
        <f t="shared" si="24"/>
        <v>7907045</v>
      </c>
      <c r="U97" s="323">
        <f t="shared" si="24"/>
        <v>7907045</v>
      </c>
      <c r="V97" s="323">
        <f t="shared" si="24"/>
        <v>7907045</v>
      </c>
      <c r="W97" s="323">
        <f t="shared" si="24"/>
        <v>7907045</v>
      </c>
    </row>
    <row r="98" spans="1:23" s="265" customFormat="1">
      <c r="A98" s="295"/>
      <c r="B98" s="295"/>
      <c r="C98" s="296"/>
      <c r="D98" s="309" t="s">
        <v>35</v>
      </c>
      <c r="E98" s="346" t="str">
        <f xml:space="preserve"> InpS!E$58</f>
        <v>Plant &amp; Machinery capex POS</v>
      </c>
      <c r="F98" s="346">
        <f xml:space="preserve"> InpS!F$58</f>
        <v>0</v>
      </c>
      <c r="G98" s="346" t="str">
        <f xml:space="preserve"> InpS!G$58</f>
        <v>Kes '000'</v>
      </c>
      <c r="H98" s="346">
        <f xml:space="preserve"> InpS!H$58</f>
        <v>2500000</v>
      </c>
      <c r="I98" s="346">
        <f xml:space="preserve"> InpS!I$58</f>
        <v>0</v>
      </c>
      <c r="J98" s="346">
        <f xml:space="preserve"> InpS!J$58</f>
        <v>0</v>
      </c>
      <c r="K98" s="346">
        <f xml:space="preserve"> InpS!K$58</f>
        <v>0</v>
      </c>
      <c r="L98" s="346">
        <f xml:space="preserve"> InpS!L$58</f>
        <v>0</v>
      </c>
      <c r="M98" s="346">
        <f xml:space="preserve"> InpS!M$58</f>
        <v>0</v>
      </c>
      <c r="N98" s="346">
        <f xml:space="preserve"> InpS!N$58</f>
        <v>0</v>
      </c>
      <c r="O98" s="346">
        <f xml:space="preserve"> InpS!O$58</f>
        <v>0</v>
      </c>
      <c r="P98" s="346">
        <f xml:space="preserve"> InpS!P$58</f>
        <v>1000000</v>
      </c>
      <c r="Q98" s="346">
        <f xml:space="preserve"> InpS!Q$58</f>
        <v>500000</v>
      </c>
      <c r="R98" s="346">
        <f xml:space="preserve"> InpS!R$58</f>
        <v>500000</v>
      </c>
      <c r="S98" s="346">
        <f xml:space="preserve"> InpS!S$58</f>
        <v>500000</v>
      </c>
      <c r="T98" s="346">
        <f xml:space="preserve"> InpS!T$58</f>
        <v>0</v>
      </c>
      <c r="U98" s="346">
        <f xml:space="preserve"> InpS!U$58</f>
        <v>0</v>
      </c>
      <c r="V98" s="346">
        <f xml:space="preserve"> InpS!V$58</f>
        <v>0</v>
      </c>
      <c r="W98" s="346">
        <f xml:space="preserve"> InpS!W$58</f>
        <v>0</v>
      </c>
    </row>
    <row r="99" spans="1:23" s="265" customFormat="1">
      <c r="A99" s="262"/>
      <c r="B99" s="262"/>
      <c r="C99" s="263"/>
      <c r="D99" s="351" t="s">
        <v>36</v>
      </c>
      <c r="E99" s="265" t="str">
        <f xml:space="preserve"> E91</f>
        <v>Total retirement of Plant &amp; Machinery</v>
      </c>
      <c r="F99" s="265">
        <f t="shared" ref="F99:W99" si="25" xml:space="preserve"> F91</f>
        <v>0</v>
      </c>
      <c r="G99" s="265" t="str">
        <f t="shared" si="25"/>
        <v>Kes '000'</v>
      </c>
      <c r="H99" s="265">
        <f t="shared" si="25"/>
        <v>0</v>
      </c>
      <c r="I99" s="265">
        <f t="shared" si="25"/>
        <v>0</v>
      </c>
      <c r="J99" s="265">
        <f t="shared" si="25"/>
        <v>0</v>
      </c>
      <c r="K99" s="265">
        <f t="shared" si="25"/>
        <v>0</v>
      </c>
      <c r="L99" s="265">
        <f t="shared" si="25"/>
        <v>0</v>
      </c>
      <c r="M99" s="265">
        <f t="shared" si="25"/>
        <v>0</v>
      </c>
      <c r="N99" s="265">
        <f t="shared" si="25"/>
        <v>0</v>
      </c>
      <c r="O99" s="265">
        <f t="shared" si="25"/>
        <v>0</v>
      </c>
      <c r="P99" s="265">
        <f t="shared" si="25"/>
        <v>0</v>
      </c>
      <c r="Q99" s="265">
        <f t="shared" si="25"/>
        <v>0</v>
      </c>
      <c r="R99" s="265">
        <f t="shared" si="25"/>
        <v>0</v>
      </c>
      <c r="S99" s="265">
        <f t="shared" si="25"/>
        <v>0</v>
      </c>
      <c r="T99" s="265">
        <f t="shared" si="25"/>
        <v>0</v>
      </c>
      <c r="U99" s="265">
        <f t="shared" si="25"/>
        <v>0</v>
      </c>
      <c r="V99" s="265">
        <f t="shared" si="25"/>
        <v>0</v>
      </c>
      <c r="W99" s="265">
        <f t="shared" si="25"/>
        <v>0</v>
      </c>
    </row>
    <row r="100" spans="1:23" s="265" customFormat="1">
      <c r="A100" s="325"/>
      <c r="B100" s="325"/>
      <c r="C100" s="326"/>
      <c r="D100" s="327"/>
      <c r="E100" s="328" t="s">
        <v>286</v>
      </c>
      <c r="F100" s="329"/>
      <c r="G100" s="328" t="s">
        <v>48</v>
      </c>
      <c r="H100" s="329"/>
      <c r="I100" s="330"/>
      <c r="J100" s="329">
        <f xml:space="preserve"> IF( J95 = 1, $F94, J97 + J98 - J99)</f>
        <v>0</v>
      </c>
      <c r="K100" s="329">
        <f t="shared" ref="K100:W100" si="26" xml:space="preserve"> IF( K95 = 1, $F94, K97 + K98 - K99)</f>
        <v>0</v>
      </c>
      <c r="L100" s="329">
        <f t="shared" si="26"/>
        <v>0</v>
      </c>
      <c r="M100" s="329">
        <f t="shared" si="26"/>
        <v>0</v>
      </c>
      <c r="N100" s="329">
        <f t="shared" si="26"/>
        <v>0</v>
      </c>
      <c r="O100" s="329">
        <f t="shared" si="26"/>
        <v>5407045</v>
      </c>
      <c r="P100" s="329">
        <f t="shared" si="26"/>
        <v>6407045</v>
      </c>
      <c r="Q100" s="329">
        <f t="shared" si="26"/>
        <v>6907045</v>
      </c>
      <c r="R100" s="329">
        <f t="shared" si="26"/>
        <v>7407045</v>
      </c>
      <c r="S100" s="329">
        <f t="shared" si="26"/>
        <v>7907045</v>
      </c>
      <c r="T100" s="329">
        <f t="shared" si="26"/>
        <v>7907045</v>
      </c>
      <c r="U100" s="329">
        <f t="shared" si="26"/>
        <v>7907045</v>
      </c>
      <c r="V100" s="329">
        <f t="shared" si="26"/>
        <v>7907045</v>
      </c>
      <c r="W100" s="329">
        <f t="shared" si="26"/>
        <v>7907045</v>
      </c>
    </row>
    <row r="101" spans="1:23" s="265" customFormat="1">
      <c r="A101" s="320"/>
      <c r="B101" s="262"/>
      <c r="C101" s="263"/>
      <c r="D101" s="322"/>
      <c r="E101" s="323"/>
      <c r="F101" s="323"/>
      <c r="G101" s="323"/>
      <c r="H101" s="323"/>
      <c r="I101" s="323"/>
      <c r="J101" s="323"/>
    </row>
    <row r="102" spans="1:23" s="265" customFormat="1">
      <c r="A102" s="295"/>
      <c r="B102" s="295"/>
      <c r="C102" s="296"/>
      <c r="D102" s="309"/>
      <c r="E102" s="302" t="str">
        <f xml:space="preserve"> E72</f>
        <v>Useful life of Plant &amp; Machinery</v>
      </c>
      <c r="F102" s="302">
        <f xml:space="preserve"> F72</f>
        <v>9</v>
      </c>
      <c r="G102" s="302" t="str">
        <f xml:space="preserve"> G72</f>
        <v>periods</v>
      </c>
      <c r="H102" s="302"/>
      <c r="I102" s="302"/>
      <c r="J102" s="302"/>
    </row>
    <row r="103" spans="1:23" s="335" customFormat="1">
      <c r="A103" s="331"/>
      <c r="B103" s="332"/>
      <c r="C103" s="333"/>
      <c r="D103" s="334"/>
      <c r="E103" s="334" t="s">
        <v>287</v>
      </c>
      <c r="F103" s="334">
        <f xml:space="preserve"> 1 / F102</f>
        <v>0.1111111111111111</v>
      </c>
      <c r="G103" s="334" t="s">
        <v>179</v>
      </c>
      <c r="H103" s="334"/>
      <c r="I103" s="334"/>
      <c r="J103" s="334"/>
    </row>
    <row r="104" spans="1:23" s="265" customFormat="1">
      <c r="A104" s="294"/>
      <c r="B104" s="295"/>
      <c r="C104" s="296"/>
      <c r="D104" s="297"/>
      <c r="E104" s="298"/>
      <c r="F104" s="298"/>
      <c r="G104" s="298"/>
      <c r="H104" s="298"/>
      <c r="I104" s="298"/>
      <c r="J104" s="298"/>
    </row>
    <row r="105" spans="1:23" s="335" customFormat="1">
      <c r="A105" s="332"/>
      <c r="B105" s="332"/>
      <c r="C105" s="333"/>
      <c r="D105" s="352"/>
      <c r="E105" s="352" t="str">
        <f xml:space="preserve"> E103</f>
        <v>Plant &amp; Machinery depreciation rate</v>
      </c>
      <c r="F105" s="352">
        <f xml:space="preserve"> F103</f>
        <v>0.1111111111111111</v>
      </c>
      <c r="G105" s="352" t="str">
        <f xml:space="preserve"> G103</f>
        <v>%</v>
      </c>
      <c r="H105" s="352"/>
      <c r="I105" s="352"/>
      <c r="J105" s="352"/>
    </row>
    <row r="106" spans="1:23" s="265" customFormat="1">
      <c r="A106" s="295"/>
      <c r="B106" s="295"/>
      <c r="C106" s="296"/>
      <c r="D106" s="309"/>
      <c r="E106" s="302" t="str">
        <f xml:space="preserve"> E97</f>
        <v>Plant &amp; Machinery - depreciable basis bal BEG</v>
      </c>
      <c r="F106" s="302">
        <f t="shared" ref="F106:W106" si="27" xml:space="preserve"> F97</f>
        <v>0</v>
      </c>
      <c r="G106" s="302" t="str">
        <f t="shared" si="27"/>
        <v>Kes '000'</v>
      </c>
      <c r="H106" s="302">
        <f t="shared" si="27"/>
        <v>0</v>
      </c>
      <c r="I106" s="302">
        <f t="shared" si="27"/>
        <v>0</v>
      </c>
      <c r="J106" s="302">
        <f t="shared" si="27"/>
        <v>0</v>
      </c>
      <c r="K106" s="302">
        <f t="shared" si="27"/>
        <v>0</v>
      </c>
      <c r="L106" s="302">
        <f t="shared" si="27"/>
        <v>0</v>
      </c>
      <c r="M106" s="302">
        <f t="shared" si="27"/>
        <v>0</v>
      </c>
      <c r="N106" s="302">
        <f t="shared" si="27"/>
        <v>0</v>
      </c>
      <c r="O106" s="302">
        <f t="shared" si="27"/>
        <v>0</v>
      </c>
      <c r="P106" s="302">
        <f t="shared" si="27"/>
        <v>5407045</v>
      </c>
      <c r="Q106" s="302">
        <f t="shared" si="27"/>
        <v>6407045</v>
      </c>
      <c r="R106" s="302">
        <f t="shared" si="27"/>
        <v>6907045</v>
      </c>
      <c r="S106" s="302">
        <f t="shared" si="27"/>
        <v>7407045</v>
      </c>
      <c r="T106" s="302">
        <f t="shared" si="27"/>
        <v>7907045</v>
      </c>
      <c r="U106" s="302">
        <f t="shared" si="27"/>
        <v>7907045</v>
      </c>
      <c r="V106" s="302">
        <f t="shared" si="27"/>
        <v>7907045</v>
      </c>
      <c r="W106" s="302">
        <f t="shared" si="27"/>
        <v>7907045</v>
      </c>
    </row>
    <row r="107" spans="1:23" s="265" customFormat="1">
      <c r="A107" s="294"/>
      <c r="B107" s="295"/>
      <c r="C107" s="296"/>
      <c r="D107" s="297"/>
      <c r="E107" s="298" t="s">
        <v>288</v>
      </c>
      <c r="F107" s="298"/>
      <c r="G107" s="298" t="s">
        <v>48</v>
      </c>
      <c r="H107" s="302">
        <f xml:space="preserve"> SUM(J107:W107)</f>
        <v>6417373.333333334</v>
      </c>
      <c r="I107" s="298"/>
      <c r="J107" s="298">
        <f xml:space="preserve"> $F105 * J106</f>
        <v>0</v>
      </c>
      <c r="K107" s="298">
        <f t="shared" ref="K107:W107" si="28" xml:space="preserve"> $F105 * K106</f>
        <v>0</v>
      </c>
      <c r="L107" s="298">
        <f t="shared" si="28"/>
        <v>0</v>
      </c>
      <c r="M107" s="298">
        <f t="shared" si="28"/>
        <v>0</v>
      </c>
      <c r="N107" s="298">
        <f t="shared" si="28"/>
        <v>0</v>
      </c>
      <c r="O107" s="298">
        <f t="shared" si="28"/>
        <v>0</v>
      </c>
      <c r="P107" s="298">
        <f t="shared" si="28"/>
        <v>600782.77777777775</v>
      </c>
      <c r="Q107" s="298">
        <f t="shared" si="28"/>
        <v>711893.88888888888</v>
      </c>
      <c r="R107" s="298">
        <f t="shared" si="28"/>
        <v>767449.44444444438</v>
      </c>
      <c r="S107" s="298">
        <f t="shared" si="28"/>
        <v>823005</v>
      </c>
      <c r="T107" s="298">
        <f t="shared" si="28"/>
        <v>878560.5555555555</v>
      </c>
      <c r="U107" s="298">
        <f t="shared" si="28"/>
        <v>878560.5555555555</v>
      </c>
      <c r="V107" s="298">
        <f t="shared" si="28"/>
        <v>878560.5555555555</v>
      </c>
      <c r="W107" s="298">
        <f t="shared" si="28"/>
        <v>878560.5555555555</v>
      </c>
    </row>
    <row r="108" spans="1:23" s="308" customFormat="1">
      <c r="A108" s="304"/>
      <c r="B108" s="304"/>
      <c r="C108" s="305"/>
      <c r="D108" s="306"/>
      <c r="E108" s="307" t="str">
        <f xml:space="preserve"> LEFT(E107, LEN(E107) - 4)</f>
        <v>Depreciation of Plant &amp; Machinery</v>
      </c>
      <c r="F108" s="307" t="s">
        <v>248</v>
      </c>
      <c r="G108" s="307" t="str">
        <f xml:space="preserve"> G107</f>
        <v>Kes '000'</v>
      </c>
      <c r="H108" s="344">
        <f xml:space="preserve"> SUM(J108:W108)</f>
        <v>-6417373.333333334</v>
      </c>
      <c r="I108" s="307"/>
      <c r="J108" s="307">
        <f xml:space="preserve"> -1 * J107</f>
        <v>0</v>
      </c>
      <c r="K108" s="307">
        <f t="shared" ref="K108:W108" si="29" xml:space="preserve"> -1 * K107</f>
        <v>0</v>
      </c>
      <c r="L108" s="307">
        <f t="shared" si="29"/>
        <v>0</v>
      </c>
      <c r="M108" s="307">
        <f t="shared" si="29"/>
        <v>0</v>
      </c>
      <c r="N108" s="307">
        <f t="shared" si="29"/>
        <v>0</v>
      </c>
      <c r="O108" s="307">
        <f t="shared" si="29"/>
        <v>0</v>
      </c>
      <c r="P108" s="307">
        <f t="shared" si="29"/>
        <v>-600782.77777777775</v>
      </c>
      <c r="Q108" s="307">
        <f t="shared" si="29"/>
        <v>-711893.88888888888</v>
      </c>
      <c r="R108" s="307">
        <f t="shared" si="29"/>
        <v>-767449.44444444438</v>
      </c>
      <c r="S108" s="307">
        <f t="shared" si="29"/>
        <v>-823005</v>
      </c>
      <c r="T108" s="307">
        <f t="shared" si="29"/>
        <v>-878560.5555555555</v>
      </c>
      <c r="U108" s="307">
        <f t="shared" si="29"/>
        <v>-878560.5555555555</v>
      </c>
      <c r="V108" s="307">
        <f t="shared" si="29"/>
        <v>-878560.5555555555</v>
      </c>
      <c r="W108" s="307">
        <f t="shared" si="29"/>
        <v>-878560.5555555555</v>
      </c>
    </row>
    <row r="109" spans="1:23" s="265" customFormat="1">
      <c r="A109" s="294"/>
      <c r="B109" s="295"/>
      <c r="C109" s="296"/>
      <c r="D109" s="297"/>
      <c r="E109" s="298"/>
      <c r="F109" s="298"/>
      <c r="G109" s="298"/>
      <c r="H109" s="298"/>
      <c r="I109" s="298"/>
      <c r="J109" s="298"/>
    </row>
    <row r="110" spans="1:23" s="265" customFormat="1">
      <c r="A110" s="294"/>
      <c r="B110" s="295" t="s">
        <v>289</v>
      </c>
      <c r="C110" s="296"/>
      <c r="D110" s="297"/>
      <c r="E110" s="298"/>
      <c r="F110" s="298"/>
      <c r="G110" s="298"/>
      <c r="H110" s="298"/>
      <c r="I110" s="298"/>
      <c r="J110" s="298"/>
    </row>
    <row r="111" spans="1:23" s="265" customFormat="1">
      <c r="A111" s="316"/>
      <c r="B111" s="316"/>
      <c r="C111" s="317"/>
      <c r="D111" s="318"/>
      <c r="E111" s="349" t="str">
        <f xml:space="preserve"> InpC!E$36</f>
        <v>Plant &amp; Machinery - depreciable basis - Initial balance</v>
      </c>
      <c r="F111" s="349">
        <f xml:space="preserve"> InpC!F$36</f>
        <v>5407045</v>
      </c>
      <c r="G111" s="349" t="str">
        <f xml:space="preserve"> InpC!G$36</f>
        <v>Kes '000'</v>
      </c>
      <c r="H111" s="319"/>
      <c r="I111" s="319"/>
      <c r="J111" s="319"/>
    </row>
    <row r="112" spans="1:23" s="265" customFormat="1">
      <c r="A112" s="262"/>
      <c r="B112" s="262"/>
      <c r="C112" s="263"/>
      <c r="D112" s="351"/>
      <c r="E112" s="350" t="str">
        <f xml:space="preserve"> Time!E$33</f>
        <v>Acquisition / initial balance date flag</v>
      </c>
      <c r="F112" s="350">
        <f xml:space="preserve"> Time!F$33</f>
        <v>0</v>
      </c>
      <c r="G112" s="350" t="str">
        <f xml:space="preserve"> Time!G$33</f>
        <v>flag</v>
      </c>
      <c r="H112" s="350">
        <f xml:space="preserve"> Time!H$33</f>
        <v>1</v>
      </c>
      <c r="I112" s="350">
        <f xml:space="preserve"> Time!I$33</f>
        <v>0</v>
      </c>
      <c r="J112" s="350">
        <f xml:space="preserve"> Time!J$33</f>
        <v>0</v>
      </c>
      <c r="K112" s="350">
        <f xml:space="preserve"> Time!K$33</f>
        <v>0</v>
      </c>
      <c r="L112" s="350">
        <f xml:space="preserve"> Time!L$33</f>
        <v>0</v>
      </c>
      <c r="M112" s="350">
        <f xml:space="preserve"> Time!M$33</f>
        <v>0</v>
      </c>
      <c r="N112" s="350">
        <f xml:space="preserve"> Time!N$33</f>
        <v>0</v>
      </c>
      <c r="O112" s="350">
        <f xml:space="preserve"> Time!O$33</f>
        <v>1</v>
      </c>
      <c r="P112" s="350">
        <f xml:space="preserve"> Time!P$33</f>
        <v>0</v>
      </c>
      <c r="Q112" s="350">
        <f xml:space="preserve"> Time!Q$33</f>
        <v>0</v>
      </c>
      <c r="R112" s="350">
        <f xml:space="preserve"> Time!R$33</f>
        <v>0</v>
      </c>
      <c r="S112" s="350">
        <f xml:space="preserve"> Time!S$33</f>
        <v>0</v>
      </c>
      <c r="T112" s="350">
        <f xml:space="preserve"> Time!T$33</f>
        <v>0</v>
      </c>
      <c r="U112" s="350">
        <f xml:space="preserve"> Time!U$33</f>
        <v>0</v>
      </c>
      <c r="V112" s="350">
        <f xml:space="preserve"> Time!V$33</f>
        <v>0</v>
      </c>
      <c r="W112" s="350">
        <f xml:space="preserve"> Time!W$33</f>
        <v>0</v>
      </c>
    </row>
    <row r="113" spans="1:23" s="265" customFormat="1">
      <c r="A113" s="320"/>
      <c r="B113" s="320"/>
      <c r="C113" s="321"/>
      <c r="D113" s="322"/>
      <c r="E113" s="323"/>
      <c r="F113" s="323"/>
      <c r="G113" s="323"/>
      <c r="H113" s="323"/>
      <c r="I113" s="323"/>
      <c r="J113" s="323"/>
    </row>
    <row r="114" spans="1:23" s="265" customFormat="1">
      <c r="A114" s="320"/>
      <c r="B114" s="320"/>
      <c r="C114" s="321"/>
      <c r="D114" s="322"/>
      <c r="E114" s="265" t="s">
        <v>290</v>
      </c>
      <c r="F114" s="323"/>
      <c r="G114" s="265" t="s">
        <v>48</v>
      </c>
      <c r="H114" s="323"/>
      <c r="I114" s="323"/>
      <c r="J114" s="323">
        <f xml:space="preserve"> I117</f>
        <v>0</v>
      </c>
      <c r="K114" s="323">
        <f t="shared" ref="K114:W114" si="30" xml:space="preserve"> J117</f>
        <v>0</v>
      </c>
      <c r="L114" s="323">
        <f t="shared" si="30"/>
        <v>0</v>
      </c>
      <c r="M114" s="323">
        <f t="shared" si="30"/>
        <v>0</v>
      </c>
      <c r="N114" s="323">
        <f t="shared" si="30"/>
        <v>0</v>
      </c>
      <c r="O114" s="323">
        <f t="shared" si="30"/>
        <v>0</v>
      </c>
      <c r="P114" s="323">
        <f t="shared" si="30"/>
        <v>5407045</v>
      </c>
      <c r="Q114" s="323">
        <f t="shared" si="30"/>
        <v>5806262.222222222</v>
      </c>
      <c r="R114" s="323">
        <f t="shared" si="30"/>
        <v>5594368.333333333</v>
      </c>
      <c r="S114" s="323">
        <f t="shared" si="30"/>
        <v>5326918.888888889</v>
      </c>
      <c r="T114" s="323">
        <f t="shared" si="30"/>
        <v>5003913.888888889</v>
      </c>
      <c r="U114" s="323">
        <f t="shared" si="30"/>
        <v>4125353.3333333335</v>
      </c>
      <c r="V114" s="323">
        <f t="shared" si="30"/>
        <v>3246792.777777778</v>
      </c>
      <c r="W114" s="323">
        <f t="shared" si="30"/>
        <v>2368232.2222222225</v>
      </c>
    </row>
    <row r="115" spans="1:23" s="265" customFormat="1">
      <c r="A115" s="295"/>
      <c r="B115" s="295"/>
      <c r="C115" s="296"/>
      <c r="D115" s="309" t="s">
        <v>35</v>
      </c>
      <c r="E115" s="346" t="str">
        <f xml:space="preserve"> InpS!E$58</f>
        <v>Plant &amp; Machinery capex POS</v>
      </c>
      <c r="F115" s="346">
        <f xml:space="preserve"> InpS!F$58</f>
        <v>0</v>
      </c>
      <c r="G115" s="346" t="str">
        <f xml:space="preserve"> InpS!G$58</f>
        <v>Kes '000'</v>
      </c>
      <c r="H115" s="346">
        <f xml:space="preserve"> InpS!H$58</f>
        <v>2500000</v>
      </c>
      <c r="I115" s="346">
        <f xml:space="preserve"> InpS!I$58</f>
        <v>0</v>
      </c>
      <c r="J115" s="346">
        <f xml:space="preserve"> InpS!J$58</f>
        <v>0</v>
      </c>
      <c r="K115" s="346">
        <f xml:space="preserve"> InpS!K$58</f>
        <v>0</v>
      </c>
      <c r="L115" s="346">
        <f xml:space="preserve"> InpS!L$58</f>
        <v>0</v>
      </c>
      <c r="M115" s="346">
        <f xml:space="preserve"> InpS!M$58</f>
        <v>0</v>
      </c>
      <c r="N115" s="346">
        <f xml:space="preserve"> InpS!N$58</f>
        <v>0</v>
      </c>
      <c r="O115" s="346">
        <f xml:space="preserve"> InpS!O$58</f>
        <v>0</v>
      </c>
      <c r="P115" s="346">
        <f xml:space="preserve"> InpS!P$58</f>
        <v>1000000</v>
      </c>
      <c r="Q115" s="346">
        <f xml:space="preserve"> InpS!Q$58</f>
        <v>500000</v>
      </c>
      <c r="R115" s="346">
        <f xml:space="preserve"> InpS!R$58</f>
        <v>500000</v>
      </c>
      <c r="S115" s="346">
        <f xml:space="preserve"> InpS!S$58</f>
        <v>500000</v>
      </c>
      <c r="T115" s="346">
        <f xml:space="preserve"> InpS!T$58</f>
        <v>0</v>
      </c>
      <c r="U115" s="346">
        <f xml:space="preserve"> InpS!U$58</f>
        <v>0</v>
      </c>
      <c r="V115" s="346">
        <f xml:space="preserve"> InpS!V$58</f>
        <v>0</v>
      </c>
      <c r="W115" s="346">
        <f xml:space="preserve"> InpS!W$58</f>
        <v>0</v>
      </c>
    </row>
    <row r="116" spans="1:23" s="265" customFormat="1">
      <c r="A116" s="262"/>
      <c r="B116" s="262"/>
      <c r="C116" s="263"/>
      <c r="D116" s="351" t="s">
        <v>36</v>
      </c>
      <c r="E116" s="265" t="str">
        <f xml:space="preserve"> E107</f>
        <v>Depreciation of Plant &amp; Machinery POS</v>
      </c>
      <c r="F116" s="265">
        <f t="shared" ref="F116:W116" si="31" xml:space="preserve"> F107</f>
        <v>0</v>
      </c>
      <c r="G116" s="265" t="str">
        <f t="shared" si="31"/>
        <v>Kes '000'</v>
      </c>
      <c r="H116" s="265">
        <f t="shared" si="31"/>
        <v>6417373.333333334</v>
      </c>
      <c r="I116" s="265">
        <f t="shared" si="31"/>
        <v>0</v>
      </c>
      <c r="J116" s="265">
        <f t="shared" si="31"/>
        <v>0</v>
      </c>
      <c r="K116" s="265">
        <f t="shared" si="31"/>
        <v>0</v>
      </c>
      <c r="L116" s="265">
        <f t="shared" si="31"/>
        <v>0</v>
      </c>
      <c r="M116" s="265">
        <f t="shared" si="31"/>
        <v>0</v>
      </c>
      <c r="N116" s="265">
        <f t="shared" si="31"/>
        <v>0</v>
      </c>
      <c r="O116" s="265">
        <f t="shared" si="31"/>
        <v>0</v>
      </c>
      <c r="P116" s="265">
        <f t="shared" si="31"/>
        <v>600782.77777777775</v>
      </c>
      <c r="Q116" s="265">
        <f t="shared" si="31"/>
        <v>711893.88888888888</v>
      </c>
      <c r="R116" s="265">
        <f t="shared" si="31"/>
        <v>767449.44444444438</v>
      </c>
      <c r="S116" s="265">
        <f t="shared" si="31"/>
        <v>823005</v>
      </c>
      <c r="T116" s="265">
        <f t="shared" si="31"/>
        <v>878560.5555555555</v>
      </c>
      <c r="U116" s="265">
        <f t="shared" si="31"/>
        <v>878560.5555555555</v>
      </c>
      <c r="V116" s="265">
        <f t="shared" si="31"/>
        <v>878560.5555555555</v>
      </c>
      <c r="W116" s="265">
        <f t="shared" si="31"/>
        <v>878560.5555555555</v>
      </c>
    </row>
    <row r="117" spans="1:23" s="308" customFormat="1">
      <c r="A117" s="336"/>
      <c r="B117" s="336"/>
      <c r="C117" s="337"/>
      <c r="D117" s="338"/>
      <c r="E117" s="339" t="s">
        <v>291</v>
      </c>
      <c r="F117" s="340" t="s">
        <v>251</v>
      </c>
      <c r="G117" s="339" t="s">
        <v>48</v>
      </c>
      <c r="H117" s="340"/>
      <c r="I117" s="341"/>
      <c r="J117" s="340">
        <f xml:space="preserve"> IF( J112 = 1, $F111, J114 + J115 - J116)</f>
        <v>0</v>
      </c>
      <c r="K117" s="340">
        <f t="shared" ref="K117:W117" si="32" xml:space="preserve"> IF( K112 = 1, $F111, K114 + K115 - K116)</f>
        <v>0</v>
      </c>
      <c r="L117" s="340">
        <f t="shared" si="32"/>
        <v>0</v>
      </c>
      <c r="M117" s="340">
        <f t="shared" si="32"/>
        <v>0</v>
      </c>
      <c r="N117" s="340">
        <f t="shared" si="32"/>
        <v>0</v>
      </c>
      <c r="O117" s="340">
        <f t="shared" si="32"/>
        <v>5407045</v>
      </c>
      <c r="P117" s="340">
        <f t="shared" si="32"/>
        <v>5806262.222222222</v>
      </c>
      <c r="Q117" s="340">
        <f t="shared" si="32"/>
        <v>5594368.333333333</v>
      </c>
      <c r="R117" s="340">
        <f t="shared" si="32"/>
        <v>5326918.888888889</v>
      </c>
      <c r="S117" s="340">
        <f t="shared" si="32"/>
        <v>5003913.888888889</v>
      </c>
      <c r="T117" s="340">
        <f t="shared" si="32"/>
        <v>4125353.3333333335</v>
      </c>
      <c r="U117" s="340">
        <f t="shared" si="32"/>
        <v>3246792.777777778</v>
      </c>
      <c r="V117" s="340">
        <f t="shared" si="32"/>
        <v>2368232.2222222225</v>
      </c>
      <c r="W117" s="340">
        <f t="shared" si="32"/>
        <v>1489671.666666667</v>
      </c>
    </row>
    <row r="119" spans="1:23">
      <c r="C119" s="16" t="s">
        <v>294</v>
      </c>
    </row>
    <row r="121" spans="1:23" s="27" customFormat="1">
      <c r="A121" s="10"/>
      <c r="B121" s="4"/>
      <c r="C121" s="16"/>
      <c r="D121" s="61"/>
      <c r="E121" s="27" t="str">
        <f xml:space="preserve"> E$11</f>
        <v>Buildings and Freehold Land Capex</v>
      </c>
      <c r="F121" s="27" t="s">
        <v>295</v>
      </c>
      <c r="G121" s="27" t="str">
        <f t="shared" ref="G121:W121" si="33" xml:space="preserve"> G$11</f>
        <v>Kes '000'</v>
      </c>
      <c r="H121" s="27">
        <f t="shared" si="33"/>
        <v>-2000000</v>
      </c>
      <c r="I121" s="27">
        <f t="shared" si="33"/>
        <v>0</v>
      </c>
      <c r="J121" s="27">
        <f t="shared" si="33"/>
        <v>0</v>
      </c>
      <c r="K121" s="27">
        <f t="shared" si="33"/>
        <v>0</v>
      </c>
      <c r="L121" s="27">
        <f t="shared" si="33"/>
        <v>0</v>
      </c>
      <c r="M121" s="27">
        <f t="shared" si="33"/>
        <v>0</v>
      </c>
      <c r="N121" s="27">
        <f t="shared" si="33"/>
        <v>0</v>
      </c>
      <c r="O121" s="27">
        <f t="shared" si="33"/>
        <v>0</v>
      </c>
      <c r="P121" s="27">
        <f t="shared" si="33"/>
        <v>0</v>
      </c>
      <c r="Q121" s="27">
        <f t="shared" si="33"/>
        <v>0</v>
      </c>
      <c r="R121" s="27">
        <f t="shared" si="33"/>
        <v>0</v>
      </c>
      <c r="S121" s="27">
        <f t="shared" si="33"/>
        <v>-2000000</v>
      </c>
      <c r="T121" s="27">
        <f t="shared" si="33"/>
        <v>0</v>
      </c>
      <c r="U121" s="27">
        <f t="shared" si="33"/>
        <v>0</v>
      </c>
      <c r="V121" s="27">
        <f t="shared" si="33"/>
        <v>0</v>
      </c>
      <c r="W121" s="27">
        <f t="shared" si="33"/>
        <v>0</v>
      </c>
    </row>
    <row r="122" spans="1:23">
      <c r="E122" s="27" t="str">
        <f xml:space="preserve"> E$67</f>
        <v>Plant &amp; Machinery capex</v>
      </c>
      <c r="F122" s="27" t="s">
        <v>295</v>
      </c>
      <c r="G122" s="27" t="str">
        <f t="shared" ref="G122:W123" si="34" xml:space="preserve"> G$67</f>
        <v>Kes '000'</v>
      </c>
      <c r="H122" s="27">
        <f t="shared" si="34"/>
        <v>-2500000</v>
      </c>
      <c r="I122" s="27">
        <f t="shared" si="34"/>
        <v>0</v>
      </c>
      <c r="J122" s="27">
        <f t="shared" si="34"/>
        <v>0</v>
      </c>
      <c r="K122" s="27">
        <f t="shared" si="34"/>
        <v>0</v>
      </c>
      <c r="L122" s="27">
        <f t="shared" si="34"/>
        <v>0</v>
      </c>
      <c r="M122" s="27">
        <f t="shared" si="34"/>
        <v>0</v>
      </c>
      <c r="N122" s="27">
        <f t="shared" si="34"/>
        <v>0</v>
      </c>
      <c r="O122" s="27">
        <f t="shared" si="34"/>
        <v>0</v>
      </c>
      <c r="P122" s="27">
        <f t="shared" si="34"/>
        <v>-1000000</v>
      </c>
      <c r="Q122" s="27">
        <f t="shared" si="34"/>
        <v>-500000</v>
      </c>
      <c r="R122" s="27">
        <f t="shared" si="34"/>
        <v>-500000</v>
      </c>
      <c r="S122" s="27">
        <f t="shared" si="34"/>
        <v>-500000</v>
      </c>
      <c r="T122" s="27">
        <f t="shared" si="34"/>
        <v>0</v>
      </c>
      <c r="U122" s="27">
        <f t="shared" si="34"/>
        <v>0</v>
      </c>
      <c r="V122" s="27">
        <f t="shared" si="34"/>
        <v>0</v>
      </c>
      <c r="W122" s="27">
        <f t="shared" si="34"/>
        <v>0</v>
      </c>
    </row>
    <row r="123" spans="1:23" s="191" customFormat="1">
      <c r="A123" s="188"/>
      <c r="B123" s="189"/>
      <c r="C123" s="291"/>
      <c r="D123" s="190"/>
      <c r="E123" s="191" t="s">
        <v>294</v>
      </c>
      <c r="F123" s="191" t="s">
        <v>295</v>
      </c>
      <c r="G123" s="191" t="str">
        <f t="shared" si="34"/>
        <v>Kes '000'</v>
      </c>
      <c r="H123" s="191">
        <f xml:space="preserve"> SUM(J123:W123)</f>
        <v>-4500000</v>
      </c>
      <c r="J123" s="191">
        <f>SUM(J121:J122)</f>
        <v>0</v>
      </c>
      <c r="K123" s="191">
        <f t="shared" ref="K123:W123" si="35">SUM(K121:K122)</f>
        <v>0</v>
      </c>
      <c r="L123" s="191">
        <f t="shared" si="35"/>
        <v>0</v>
      </c>
      <c r="M123" s="191">
        <f t="shared" si="35"/>
        <v>0</v>
      </c>
      <c r="N123" s="191">
        <f t="shared" si="35"/>
        <v>0</v>
      </c>
      <c r="O123" s="191">
        <f t="shared" si="35"/>
        <v>0</v>
      </c>
      <c r="P123" s="191">
        <f t="shared" si="35"/>
        <v>-1000000</v>
      </c>
      <c r="Q123" s="191">
        <f t="shared" si="35"/>
        <v>-500000</v>
      </c>
      <c r="R123" s="191">
        <f t="shared" si="35"/>
        <v>-500000</v>
      </c>
      <c r="S123" s="191">
        <f t="shared" si="35"/>
        <v>-2500000</v>
      </c>
      <c r="T123" s="191">
        <f t="shared" si="35"/>
        <v>0</v>
      </c>
      <c r="U123" s="191">
        <f t="shared" si="35"/>
        <v>0</v>
      </c>
      <c r="V123" s="191">
        <f t="shared" si="35"/>
        <v>0</v>
      </c>
      <c r="W123" s="191">
        <f t="shared" si="35"/>
        <v>0</v>
      </c>
    </row>
    <row r="125" spans="1:23">
      <c r="C125" s="16" t="s">
        <v>296</v>
      </c>
    </row>
    <row r="127" spans="1:23">
      <c r="E127" s="27" t="str">
        <f xml:space="preserve"> E$52</f>
        <v>Depreciation of Building and Freehold Land</v>
      </c>
      <c r="F127" s="27" t="str">
        <f t="shared" ref="F127:W127" si="36" xml:space="preserve"> F$52</f>
        <v>PL</v>
      </c>
      <c r="G127" s="27" t="str">
        <f t="shared" si="36"/>
        <v>Kes '000'</v>
      </c>
      <c r="H127" s="27">
        <f t="shared" si="36"/>
        <v>-809429.59999999986</v>
      </c>
      <c r="I127" s="27">
        <f t="shared" si="36"/>
        <v>0</v>
      </c>
      <c r="J127" s="27">
        <f t="shared" si="36"/>
        <v>0</v>
      </c>
      <c r="K127" s="27">
        <f t="shared" si="36"/>
        <v>0</v>
      </c>
      <c r="L127" s="27">
        <f t="shared" si="36"/>
        <v>0</v>
      </c>
      <c r="M127" s="27">
        <f t="shared" si="36"/>
        <v>0</v>
      </c>
      <c r="N127" s="27">
        <f t="shared" si="36"/>
        <v>0</v>
      </c>
      <c r="O127" s="27">
        <f t="shared" si="36"/>
        <v>0</v>
      </c>
      <c r="P127" s="27">
        <f t="shared" si="36"/>
        <v>-76178.7</v>
      </c>
      <c r="Q127" s="27">
        <f t="shared" si="36"/>
        <v>-76178.7</v>
      </c>
      <c r="R127" s="27">
        <f t="shared" si="36"/>
        <v>-76178.7</v>
      </c>
      <c r="S127" s="27">
        <f t="shared" si="36"/>
        <v>-76178.7</v>
      </c>
      <c r="T127" s="27">
        <f t="shared" si="36"/>
        <v>-126178.70000000001</v>
      </c>
      <c r="U127" s="27">
        <f t="shared" si="36"/>
        <v>-126178.70000000001</v>
      </c>
      <c r="V127" s="27">
        <f t="shared" si="36"/>
        <v>-126178.70000000001</v>
      </c>
      <c r="W127" s="27">
        <f t="shared" si="36"/>
        <v>-126178.70000000001</v>
      </c>
    </row>
    <row r="128" spans="1:23">
      <c r="E128" s="27" t="str">
        <f xml:space="preserve"> E$108</f>
        <v>Depreciation of Plant &amp; Machinery</v>
      </c>
      <c r="F128" s="27" t="str">
        <f t="shared" ref="F128:W129" si="37" xml:space="preserve"> F$108</f>
        <v>PL</v>
      </c>
      <c r="G128" s="27" t="str">
        <f t="shared" si="37"/>
        <v>Kes '000'</v>
      </c>
      <c r="H128" s="27">
        <f t="shared" si="37"/>
        <v>-6417373.333333334</v>
      </c>
      <c r="I128" s="27">
        <f t="shared" si="37"/>
        <v>0</v>
      </c>
      <c r="J128" s="27">
        <f t="shared" si="37"/>
        <v>0</v>
      </c>
      <c r="K128" s="27">
        <f t="shared" si="37"/>
        <v>0</v>
      </c>
      <c r="L128" s="27">
        <f t="shared" si="37"/>
        <v>0</v>
      </c>
      <c r="M128" s="27">
        <f t="shared" si="37"/>
        <v>0</v>
      </c>
      <c r="N128" s="27">
        <f t="shared" si="37"/>
        <v>0</v>
      </c>
      <c r="O128" s="27">
        <f t="shared" si="37"/>
        <v>0</v>
      </c>
      <c r="P128" s="27">
        <f t="shared" si="37"/>
        <v>-600782.77777777775</v>
      </c>
      <c r="Q128" s="27">
        <f t="shared" si="37"/>
        <v>-711893.88888888888</v>
      </c>
      <c r="R128" s="27">
        <f t="shared" si="37"/>
        <v>-767449.44444444438</v>
      </c>
      <c r="S128" s="27">
        <f t="shared" si="37"/>
        <v>-823005</v>
      </c>
      <c r="T128" s="27">
        <f t="shared" si="37"/>
        <v>-878560.5555555555</v>
      </c>
      <c r="U128" s="27">
        <f t="shared" si="37"/>
        <v>-878560.5555555555</v>
      </c>
      <c r="V128" s="27">
        <f t="shared" si="37"/>
        <v>-878560.5555555555</v>
      </c>
      <c r="W128" s="27">
        <f t="shared" si="37"/>
        <v>-878560.5555555555</v>
      </c>
    </row>
    <row r="129" spans="1:23" s="191" customFormat="1">
      <c r="A129" s="188"/>
      <c r="B129" s="189"/>
      <c r="C129" s="291"/>
      <c r="D129" s="190"/>
      <c r="E129" s="191" t="s">
        <v>296</v>
      </c>
      <c r="F129" s="191" t="s">
        <v>248</v>
      </c>
      <c r="G129" s="191" t="str">
        <f t="shared" si="37"/>
        <v>Kes '000'</v>
      </c>
      <c r="H129" s="191">
        <f xml:space="preserve"> SUM(J129:W129)</f>
        <v>-7226802.9333333317</v>
      </c>
      <c r="J129" s="191">
        <f>SUM(J127:J128)</f>
        <v>0</v>
      </c>
      <c r="K129" s="191">
        <f t="shared" ref="K129:W129" si="38">SUM(K127:K128)</f>
        <v>0</v>
      </c>
      <c r="L129" s="191">
        <f t="shared" si="38"/>
        <v>0</v>
      </c>
      <c r="M129" s="191">
        <f t="shared" si="38"/>
        <v>0</v>
      </c>
      <c r="N129" s="191">
        <f t="shared" si="38"/>
        <v>0</v>
      </c>
      <c r="O129" s="191">
        <f t="shared" si="38"/>
        <v>0</v>
      </c>
      <c r="P129" s="191">
        <f t="shared" si="38"/>
        <v>-676961.47777777771</v>
      </c>
      <c r="Q129" s="191">
        <f t="shared" si="38"/>
        <v>-788072.58888888883</v>
      </c>
      <c r="R129" s="191">
        <f t="shared" si="38"/>
        <v>-843628.14444444433</v>
      </c>
      <c r="S129" s="191">
        <f t="shared" si="38"/>
        <v>-899183.7</v>
      </c>
      <c r="T129" s="191">
        <f t="shared" si="38"/>
        <v>-1004739.2555555555</v>
      </c>
      <c r="U129" s="191">
        <f t="shared" si="38"/>
        <v>-1004739.2555555555</v>
      </c>
      <c r="V129" s="191">
        <f t="shared" si="38"/>
        <v>-1004739.2555555555</v>
      </c>
      <c r="W129" s="191">
        <f t="shared" si="38"/>
        <v>-1004739.2555555555</v>
      </c>
    </row>
    <row r="130" spans="1:23">
      <c r="E130" s="282" t="str">
        <f xml:space="preserve"> Time!E$43</f>
        <v>Forecast period flag</v>
      </c>
      <c r="F130" s="282">
        <f xml:space="preserve"> Time!F$43</f>
        <v>0</v>
      </c>
      <c r="G130" s="282" t="str">
        <f xml:space="preserve"> Time!G$43</f>
        <v>flag</v>
      </c>
      <c r="H130" s="282">
        <f xml:space="preserve"> Time!H$43</f>
        <v>6</v>
      </c>
      <c r="I130" s="282">
        <f xml:space="preserve"> Time!I$43</f>
        <v>0</v>
      </c>
      <c r="J130" s="282">
        <f xml:space="preserve"> Time!J$43</f>
        <v>0</v>
      </c>
      <c r="K130" s="282">
        <f xml:space="preserve"> Time!K$43</f>
        <v>0</v>
      </c>
      <c r="L130" s="282">
        <f xml:space="preserve"> Time!L$43</f>
        <v>0</v>
      </c>
      <c r="M130" s="282">
        <f xml:space="preserve"> Time!M$43</f>
        <v>0</v>
      </c>
      <c r="N130" s="282">
        <f xml:space="preserve"> Time!N$43</f>
        <v>0</v>
      </c>
      <c r="O130" s="282">
        <f xml:space="preserve"> Time!O$43</f>
        <v>0</v>
      </c>
      <c r="P130" s="282">
        <f xml:space="preserve"> Time!P$43</f>
        <v>1</v>
      </c>
      <c r="Q130" s="282">
        <f xml:space="preserve"> Time!Q$43</f>
        <v>1</v>
      </c>
      <c r="R130" s="282">
        <f xml:space="preserve"> Time!R$43</f>
        <v>1</v>
      </c>
      <c r="S130" s="282">
        <f xml:space="preserve"> Time!S$43</f>
        <v>1</v>
      </c>
      <c r="T130" s="282">
        <f xml:space="preserve"> Time!T$43</f>
        <v>1</v>
      </c>
      <c r="U130" s="282">
        <f xml:space="preserve"> Time!U$43</f>
        <v>1</v>
      </c>
      <c r="V130" s="282">
        <f xml:space="preserve"> Time!V$43</f>
        <v>0</v>
      </c>
      <c r="W130" s="282">
        <f xml:space="preserve"> Time!W$43</f>
        <v>0</v>
      </c>
    </row>
    <row r="131" spans="1:23" s="191" customFormat="1">
      <c r="A131" s="188"/>
      <c r="B131" s="189"/>
      <c r="C131" s="291"/>
      <c r="D131" s="190"/>
      <c r="E131" s="191" t="str">
        <f>"Forecast"&amp;" "&amp;E129</f>
        <v>Forecast Summary Depreciation</v>
      </c>
      <c r="F131" s="191" t="s">
        <v>248</v>
      </c>
      <c r="G131" s="191" t="str">
        <f>smu</f>
        <v>Kes '000'</v>
      </c>
      <c r="H131" s="191">
        <f xml:space="preserve"> SUM(J131:W131)</f>
        <v>-5217324.4222222213</v>
      </c>
      <c r="J131" s="191">
        <f>J129*J130</f>
        <v>0</v>
      </c>
      <c r="K131" s="191">
        <f t="shared" ref="K131:W131" si="39">K129*K130</f>
        <v>0</v>
      </c>
      <c r="L131" s="191">
        <f t="shared" si="39"/>
        <v>0</v>
      </c>
      <c r="M131" s="191">
        <f t="shared" si="39"/>
        <v>0</v>
      </c>
      <c r="N131" s="191">
        <f t="shared" si="39"/>
        <v>0</v>
      </c>
      <c r="O131" s="191">
        <f t="shared" si="39"/>
        <v>0</v>
      </c>
      <c r="P131" s="191">
        <f t="shared" si="39"/>
        <v>-676961.47777777771</v>
      </c>
      <c r="Q131" s="191">
        <f t="shared" si="39"/>
        <v>-788072.58888888883</v>
      </c>
      <c r="R131" s="191">
        <f t="shared" si="39"/>
        <v>-843628.14444444433</v>
      </c>
      <c r="S131" s="191">
        <f t="shared" si="39"/>
        <v>-899183.7</v>
      </c>
      <c r="T131" s="191">
        <f t="shared" si="39"/>
        <v>-1004739.2555555555</v>
      </c>
      <c r="U131" s="191">
        <f t="shared" si="39"/>
        <v>-1004739.2555555555</v>
      </c>
      <c r="V131" s="191">
        <f t="shared" si="39"/>
        <v>0</v>
      </c>
      <c r="W131" s="191">
        <f t="shared" si="39"/>
        <v>0</v>
      </c>
    </row>
    <row r="133" spans="1:23">
      <c r="C133" s="16" t="s">
        <v>297</v>
      </c>
    </row>
    <row r="135" spans="1:23">
      <c r="E135" s="27" t="str">
        <f xml:space="preserve"> E$61</f>
        <v>Building and Freehold Land balance</v>
      </c>
      <c r="F135" s="27" t="str">
        <f t="shared" ref="F135:W135" si="40" xml:space="preserve"> F$61</f>
        <v>BS</v>
      </c>
      <c r="G135" s="27" t="str">
        <f t="shared" si="40"/>
        <v>Kes '000'</v>
      </c>
      <c r="H135" s="27">
        <f t="shared" si="40"/>
        <v>0</v>
      </c>
      <c r="I135" s="27">
        <f t="shared" si="40"/>
        <v>0</v>
      </c>
      <c r="J135" s="27">
        <f t="shared" si="40"/>
        <v>0</v>
      </c>
      <c r="K135" s="27">
        <f t="shared" si="40"/>
        <v>0</v>
      </c>
      <c r="L135" s="27">
        <f t="shared" si="40"/>
        <v>0</v>
      </c>
      <c r="M135" s="27">
        <f t="shared" si="40"/>
        <v>0</v>
      </c>
      <c r="N135" s="27">
        <f t="shared" si="40"/>
        <v>0</v>
      </c>
      <c r="O135" s="27">
        <f t="shared" si="40"/>
        <v>3047148</v>
      </c>
      <c r="P135" s="27">
        <f t="shared" si="40"/>
        <v>2970969.3</v>
      </c>
      <c r="Q135" s="27">
        <f t="shared" si="40"/>
        <v>2894790.5999999996</v>
      </c>
      <c r="R135" s="27">
        <f t="shared" si="40"/>
        <v>2818611.8999999994</v>
      </c>
      <c r="S135" s="27">
        <f t="shared" si="40"/>
        <v>4742433.1999999993</v>
      </c>
      <c r="T135" s="27">
        <f t="shared" si="40"/>
        <v>4616254.4999999991</v>
      </c>
      <c r="U135" s="27">
        <f t="shared" si="40"/>
        <v>4490075.7999999989</v>
      </c>
      <c r="V135" s="27">
        <f t="shared" si="40"/>
        <v>4363897.0999999987</v>
      </c>
      <c r="W135" s="27">
        <f t="shared" si="40"/>
        <v>4237718.3999999985</v>
      </c>
    </row>
    <row r="136" spans="1:23">
      <c r="E136" s="27" t="str">
        <f xml:space="preserve"> E$117</f>
        <v>Plant &amp; Machinery balance</v>
      </c>
      <c r="F136" s="27" t="str">
        <f t="shared" ref="F136:W136" si="41" xml:space="preserve"> F$117</f>
        <v>BS</v>
      </c>
      <c r="G136" s="27" t="str">
        <f t="shared" si="41"/>
        <v>Kes '000'</v>
      </c>
      <c r="H136" s="27">
        <f t="shared" si="41"/>
        <v>0</v>
      </c>
      <c r="I136" s="27">
        <f t="shared" si="41"/>
        <v>0</v>
      </c>
      <c r="J136" s="27">
        <f t="shared" si="41"/>
        <v>0</v>
      </c>
      <c r="K136" s="27">
        <f t="shared" si="41"/>
        <v>0</v>
      </c>
      <c r="L136" s="27">
        <f t="shared" si="41"/>
        <v>0</v>
      </c>
      <c r="M136" s="27">
        <f t="shared" si="41"/>
        <v>0</v>
      </c>
      <c r="N136" s="27">
        <f t="shared" si="41"/>
        <v>0</v>
      </c>
      <c r="O136" s="27">
        <f t="shared" si="41"/>
        <v>5407045</v>
      </c>
      <c r="P136" s="27">
        <f t="shared" si="41"/>
        <v>5806262.222222222</v>
      </c>
      <c r="Q136" s="27">
        <f t="shared" si="41"/>
        <v>5594368.333333333</v>
      </c>
      <c r="R136" s="27">
        <f t="shared" si="41"/>
        <v>5326918.888888889</v>
      </c>
      <c r="S136" s="27">
        <f t="shared" si="41"/>
        <v>5003913.888888889</v>
      </c>
      <c r="T136" s="27">
        <f t="shared" si="41"/>
        <v>4125353.3333333335</v>
      </c>
      <c r="U136" s="27">
        <f t="shared" si="41"/>
        <v>3246792.777777778</v>
      </c>
      <c r="V136" s="27">
        <f t="shared" si="41"/>
        <v>2368232.2222222225</v>
      </c>
      <c r="W136" s="27">
        <f t="shared" si="41"/>
        <v>1489671.666666667</v>
      </c>
    </row>
    <row r="137" spans="1:23">
      <c r="E137" s="58" t="s">
        <v>297</v>
      </c>
      <c r="F137" s="58" t="s">
        <v>251</v>
      </c>
      <c r="G137" s="58" t="str">
        <f>smu</f>
        <v>Kes '000'</v>
      </c>
      <c r="J137" s="58">
        <f>SUM(J135:J136)</f>
        <v>0</v>
      </c>
      <c r="K137" s="58">
        <f t="shared" ref="K137:W137" si="42">SUM(K135:K136)</f>
        <v>0</v>
      </c>
      <c r="L137" s="58">
        <f t="shared" si="42"/>
        <v>0</v>
      </c>
      <c r="M137" s="58">
        <f t="shared" si="42"/>
        <v>0</v>
      </c>
      <c r="N137" s="58">
        <f t="shared" si="42"/>
        <v>0</v>
      </c>
      <c r="O137" s="58">
        <f t="shared" si="42"/>
        <v>8454193</v>
      </c>
      <c r="P137" s="58">
        <f t="shared" si="42"/>
        <v>8777231.5222222209</v>
      </c>
      <c r="Q137" s="58">
        <f t="shared" si="42"/>
        <v>8489158.9333333336</v>
      </c>
      <c r="R137" s="58">
        <f t="shared" si="42"/>
        <v>8145530.7888888884</v>
      </c>
      <c r="S137" s="58">
        <f t="shared" si="42"/>
        <v>9746347.0888888873</v>
      </c>
      <c r="T137" s="58">
        <f t="shared" si="42"/>
        <v>8741607.8333333321</v>
      </c>
      <c r="U137" s="58">
        <f t="shared" si="42"/>
        <v>7736868.5777777769</v>
      </c>
      <c r="V137" s="58">
        <f t="shared" si="42"/>
        <v>6732129.3222222216</v>
      </c>
      <c r="W137" s="58">
        <f t="shared" si="42"/>
        <v>5727390.0666666655</v>
      </c>
    </row>
    <row r="138" spans="1:23">
      <c r="E138" s="282" t="str">
        <f xml:space="preserve"> Time!E$43</f>
        <v>Forecast period flag</v>
      </c>
      <c r="F138" s="282">
        <f xml:space="preserve"> Time!F$43</f>
        <v>0</v>
      </c>
      <c r="G138" s="282" t="str">
        <f xml:space="preserve"> Time!G$43</f>
        <v>flag</v>
      </c>
      <c r="H138" s="282">
        <f xml:space="preserve"> Time!H$43</f>
        <v>6</v>
      </c>
      <c r="I138" s="282">
        <f xml:space="preserve"> Time!I$43</f>
        <v>0</v>
      </c>
      <c r="J138" s="282">
        <f xml:space="preserve"> Time!J$43</f>
        <v>0</v>
      </c>
      <c r="K138" s="282">
        <f xml:space="preserve"> Time!K$43</f>
        <v>0</v>
      </c>
      <c r="L138" s="282">
        <f xml:space="preserve"> Time!L$43</f>
        <v>0</v>
      </c>
      <c r="M138" s="282">
        <f xml:space="preserve"> Time!M$43</f>
        <v>0</v>
      </c>
      <c r="N138" s="282">
        <f xml:space="preserve"> Time!N$43</f>
        <v>0</v>
      </c>
      <c r="O138" s="282">
        <f xml:space="preserve"> Time!O$43</f>
        <v>0</v>
      </c>
      <c r="P138" s="282">
        <f xml:space="preserve"> Time!P$43</f>
        <v>1</v>
      </c>
      <c r="Q138" s="282">
        <f xml:space="preserve"> Time!Q$43</f>
        <v>1</v>
      </c>
      <c r="R138" s="282">
        <f xml:space="preserve"> Time!R$43</f>
        <v>1</v>
      </c>
      <c r="S138" s="282">
        <f xml:space="preserve"> Time!S$43</f>
        <v>1</v>
      </c>
      <c r="T138" s="282">
        <f xml:space="preserve"> Time!T$43</f>
        <v>1</v>
      </c>
      <c r="U138" s="282">
        <f xml:space="preserve"> Time!U$43</f>
        <v>1</v>
      </c>
      <c r="V138" s="282">
        <f xml:space="preserve"> Time!V$43</f>
        <v>0</v>
      </c>
      <c r="W138" s="282">
        <f xml:space="preserve"> Time!W$43</f>
        <v>0</v>
      </c>
    </row>
    <row r="139" spans="1:23" s="191" customFormat="1">
      <c r="A139" s="188"/>
      <c r="B139" s="189"/>
      <c r="C139" s="291"/>
      <c r="D139" s="190"/>
      <c r="E139" s="191" t="str">
        <f>"Forecast"&amp;" "&amp;E137</f>
        <v>Forecast Summary Book Value</v>
      </c>
      <c r="F139" s="191" t="s">
        <v>248</v>
      </c>
      <c r="G139" s="191" t="str">
        <f>smu</f>
        <v>Kes '000'</v>
      </c>
      <c r="H139" s="191">
        <f xml:space="preserve"> SUM(J139:W139)</f>
        <v>51636744.74444443</v>
      </c>
      <c r="J139" s="191">
        <f>J137*J138</f>
        <v>0</v>
      </c>
      <c r="K139" s="191">
        <f t="shared" ref="K139" si="43">K137*K138</f>
        <v>0</v>
      </c>
      <c r="L139" s="191">
        <f t="shared" ref="L139" si="44">L137*L138</f>
        <v>0</v>
      </c>
      <c r="M139" s="191">
        <f t="shared" ref="M139" si="45">M137*M138</f>
        <v>0</v>
      </c>
      <c r="N139" s="191">
        <f t="shared" ref="N139" si="46">N137*N138</f>
        <v>0</v>
      </c>
      <c r="O139" s="191">
        <f t="shared" ref="O139" si="47">O137*O138</f>
        <v>0</v>
      </c>
      <c r="P139" s="191">
        <f>P137*P138</f>
        <v>8777231.5222222209</v>
      </c>
      <c r="Q139" s="191">
        <f t="shared" ref="Q139" si="48">Q137*Q138</f>
        <v>8489158.9333333336</v>
      </c>
      <c r="R139" s="191">
        <f t="shared" ref="R139" si="49">R137*R138</f>
        <v>8145530.7888888884</v>
      </c>
      <c r="S139" s="191">
        <f t="shared" ref="S139" si="50">S137*S138</f>
        <v>9746347.0888888873</v>
      </c>
      <c r="T139" s="191">
        <f t="shared" ref="T139" si="51">T137*T138</f>
        <v>8741607.8333333321</v>
      </c>
      <c r="U139" s="191">
        <f t="shared" ref="U139" si="52">U137*U138</f>
        <v>7736868.5777777769</v>
      </c>
      <c r="V139" s="191">
        <f t="shared" ref="V139" si="53">V137*V138</f>
        <v>0</v>
      </c>
      <c r="W139" s="191">
        <f t="shared" ref="W139" si="54">W137*W138</f>
        <v>0</v>
      </c>
    </row>
  </sheetData>
  <conditionalFormatting sqref="F2">
    <cfRule type="cellIs" dxfId="31" priority="1" stopIfTrue="1" operator="notEqual">
      <formula>0</formula>
    </cfRule>
    <cfRule type="cellIs" dxfId="30" priority="2" stopIfTrue="1" operator="equal">
      <formula>""</formula>
    </cfRule>
  </conditionalFormatting>
  <conditionalFormatting sqref="J3:BY3">
    <cfRule type="cellIs" dxfId="29" priority="5" stopIfTrue="1" operator="equal">
      <formula>"Pre-forecast"</formula>
    </cfRule>
    <cfRule type="cellIs" dxfId="28"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0" tint="-0.14999847407452621"/>
    <outlinePr summaryBelow="0" summaryRight="0"/>
  </sheetPr>
  <dimension ref="A1:BY75"/>
  <sheetViews>
    <sheetView defaultGridColor="0" colorId="22" zoomScale="80" workbookViewId="0">
      <pane xSplit="9" ySplit="5" topLeftCell="J54" activePane="bottomRight" state="frozen"/>
      <selection activeCell="F2" sqref="F2"/>
      <selection pane="topRight" activeCell="F2" sqref="F2"/>
      <selection pane="bottomLeft" activeCell="F2" sqref="F2"/>
      <selection pane="bottomRight" activeCell="P68" sqref="P68"/>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7.28515625" style="58" bestFit="1" customWidth="1"/>
    <col min="6" max="6" width="12.7109375" style="58" customWidth="1"/>
    <col min="7" max="8" width="11.7109375" style="58" customWidth="1"/>
    <col min="9" max="9" width="2.7109375" style="58" customWidth="1"/>
    <col min="10"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FinCosts</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c r="A7" s="10" t="s">
        <v>298</v>
      </c>
    </row>
    <row r="9" spans="1:77" s="66" customFormat="1">
      <c r="A9" s="55"/>
      <c r="B9" s="55"/>
      <c r="C9" s="56"/>
      <c r="D9" s="63"/>
      <c r="E9" s="355" t="str">
        <f xml:space="preserve"> InpC!E$40</f>
        <v>MAT Loan - Initial balance</v>
      </c>
      <c r="F9" s="355">
        <f xml:space="preserve"> InpC!F$40</f>
        <v>1035600</v>
      </c>
      <c r="G9" s="355" t="str">
        <f xml:space="preserve"> InpC!G$40</f>
        <v>Kes '000'</v>
      </c>
    </row>
    <row r="10" spans="1:77" s="15" customFormat="1">
      <c r="A10" s="35"/>
      <c r="B10" s="35"/>
      <c r="C10" s="36"/>
      <c r="D10" s="69"/>
      <c r="E10" s="15" t="str">
        <f>Time!E$33</f>
        <v>Acquisition / initial balance date flag</v>
      </c>
      <c r="F10" s="15">
        <f>Time!F$33</f>
        <v>0</v>
      </c>
      <c r="G10" s="15" t="str">
        <f>Time!G$33</f>
        <v>flag</v>
      </c>
      <c r="H10" s="15">
        <f>Time!H$33</f>
        <v>1</v>
      </c>
      <c r="I10" s="15">
        <f>Time!I$33</f>
        <v>0</v>
      </c>
      <c r="J10" s="15">
        <f>Time!J$33</f>
        <v>0</v>
      </c>
      <c r="K10" s="15">
        <f>Time!K$33</f>
        <v>0</v>
      </c>
      <c r="L10" s="15">
        <f>Time!L$33</f>
        <v>0</v>
      </c>
      <c r="M10" s="15">
        <f>Time!M$33</f>
        <v>0</v>
      </c>
      <c r="N10" s="15">
        <f>Time!N$33</f>
        <v>0</v>
      </c>
      <c r="O10" s="15">
        <f>Time!O$33</f>
        <v>1</v>
      </c>
      <c r="P10" s="15">
        <f>Time!P$33</f>
        <v>0</v>
      </c>
      <c r="Q10" s="15">
        <f>Time!Q$33</f>
        <v>0</v>
      </c>
      <c r="R10" s="15">
        <f>Time!R$33</f>
        <v>0</v>
      </c>
      <c r="S10" s="15">
        <f>Time!S$33</f>
        <v>0</v>
      </c>
      <c r="T10" s="15">
        <f>Time!T$33</f>
        <v>0</v>
      </c>
      <c r="U10" s="15">
        <f>Time!U$33</f>
        <v>0</v>
      </c>
      <c r="V10" s="15">
        <f>Time!V$33</f>
        <v>0</v>
      </c>
      <c r="W10" s="15">
        <f>Time!W$33</f>
        <v>0</v>
      </c>
      <c r="X10" s="15">
        <f>Time!X$33</f>
        <v>0</v>
      </c>
      <c r="Y10" s="15">
        <f>Time!Y$33</f>
        <v>0</v>
      </c>
      <c r="Z10" s="15">
        <f>Time!Z$33</f>
        <v>0</v>
      </c>
      <c r="AA10" s="15">
        <f>Time!AA$33</f>
        <v>0</v>
      </c>
      <c r="AB10" s="15">
        <f>Time!AB$33</f>
        <v>0</v>
      </c>
      <c r="AC10" s="15">
        <f>Time!AC$33</f>
        <v>0</v>
      </c>
      <c r="AD10" s="15">
        <f>Time!AD$33</f>
        <v>0</v>
      </c>
      <c r="AE10" s="15">
        <f>Time!AE$33</f>
        <v>0</v>
      </c>
      <c r="AF10" s="15">
        <f>Time!AF$33</f>
        <v>0</v>
      </c>
      <c r="AG10" s="15">
        <f>Time!AG$33</f>
        <v>0</v>
      </c>
      <c r="AH10" s="15">
        <f>Time!AH$33</f>
        <v>0</v>
      </c>
      <c r="AI10" s="15">
        <f>Time!AI$33</f>
        <v>0</v>
      </c>
      <c r="AJ10" s="15">
        <f>Time!AJ$33</f>
        <v>0</v>
      </c>
      <c r="AK10" s="15">
        <f>Time!AK$33</f>
        <v>0</v>
      </c>
      <c r="AL10" s="15">
        <f>Time!AL$33</f>
        <v>0</v>
      </c>
      <c r="AM10" s="15">
        <f>Time!AM$33</f>
        <v>0</v>
      </c>
      <c r="AN10" s="15">
        <f>Time!AN$33</f>
        <v>0</v>
      </c>
      <c r="AO10" s="15">
        <f>Time!AO$33</f>
        <v>0</v>
      </c>
      <c r="AP10" s="15">
        <f>Time!AP$33</f>
        <v>0</v>
      </c>
      <c r="AQ10" s="15">
        <f>Time!AQ$33</f>
        <v>0</v>
      </c>
      <c r="AR10" s="15">
        <f>Time!AR$33</f>
        <v>0</v>
      </c>
      <c r="AS10" s="15">
        <f>Time!AS$33</f>
        <v>0</v>
      </c>
      <c r="AT10" s="15">
        <f>Time!AT$33</f>
        <v>0</v>
      </c>
      <c r="AU10" s="15">
        <f>Time!AU$33</f>
        <v>0</v>
      </c>
      <c r="AV10" s="15">
        <f>Time!AV$33</f>
        <v>0</v>
      </c>
      <c r="AW10" s="15">
        <f>Time!AW$33</f>
        <v>0</v>
      </c>
      <c r="AX10" s="15">
        <f>Time!AX$33</f>
        <v>0</v>
      </c>
      <c r="AY10" s="15">
        <f>Time!AY$33</f>
        <v>0</v>
      </c>
      <c r="AZ10" s="15">
        <f>Time!AZ$33</f>
        <v>0</v>
      </c>
      <c r="BA10" s="15">
        <f>Time!BA$33</f>
        <v>0</v>
      </c>
      <c r="BB10" s="15">
        <f>Time!BB$33</f>
        <v>0</v>
      </c>
      <c r="BC10" s="15">
        <f>Time!BC$33</f>
        <v>0</v>
      </c>
      <c r="BD10" s="15">
        <f>Time!BD$33</f>
        <v>0</v>
      </c>
      <c r="BE10" s="15">
        <f>Time!BE$33</f>
        <v>0</v>
      </c>
      <c r="BF10" s="15">
        <f>Time!BF$33</f>
        <v>0</v>
      </c>
      <c r="BG10" s="15">
        <f>Time!BG$33</f>
        <v>0</v>
      </c>
      <c r="BH10" s="15">
        <f>Time!BH$33</f>
        <v>0</v>
      </c>
      <c r="BI10" s="15">
        <f>Time!BI$33</f>
        <v>0</v>
      </c>
      <c r="BJ10" s="15">
        <f>Time!BJ$33</f>
        <v>0</v>
      </c>
      <c r="BK10" s="15">
        <f>Time!BK$33</f>
        <v>0</v>
      </c>
      <c r="BL10" s="15">
        <f>Time!BL$33</f>
        <v>0</v>
      </c>
      <c r="BM10" s="15">
        <f>Time!BM$33</f>
        <v>0</v>
      </c>
      <c r="BN10" s="15">
        <f>Time!BN$33</f>
        <v>0</v>
      </c>
      <c r="BO10" s="15">
        <f>Time!BO$33</f>
        <v>0</v>
      </c>
      <c r="BP10" s="15">
        <f>Time!BP$33</f>
        <v>0</v>
      </c>
      <c r="BQ10" s="15">
        <f>Time!BQ$33</f>
        <v>0</v>
      </c>
      <c r="BR10" s="15">
        <f>Time!BR$33</f>
        <v>0</v>
      </c>
      <c r="BS10" s="15">
        <f>Time!BS$33</f>
        <v>0</v>
      </c>
      <c r="BT10" s="15">
        <f>Time!BT$33</f>
        <v>0</v>
      </c>
      <c r="BU10" s="15">
        <f>Time!BU$33</f>
        <v>0</v>
      </c>
      <c r="BV10" s="15">
        <f>Time!BV$33</f>
        <v>0</v>
      </c>
      <c r="BW10" s="15">
        <f>Time!BW$33</f>
        <v>0</v>
      </c>
      <c r="BX10" s="15">
        <f>Time!BX$33</f>
        <v>0</v>
      </c>
      <c r="BY10" s="15">
        <f>Time!BY$33</f>
        <v>0</v>
      </c>
    </row>
    <row r="11" spans="1:77" s="57" customFormat="1">
      <c r="A11" s="8"/>
      <c r="B11" s="8"/>
      <c r="C11" s="9"/>
      <c r="D11" s="62"/>
    </row>
    <row r="12" spans="1:77" s="59" customFormat="1">
      <c r="A12" s="84"/>
      <c r="B12" s="84"/>
      <c r="C12" s="85"/>
      <c r="D12" s="356"/>
      <c r="E12" s="59" t="s">
        <v>300</v>
      </c>
      <c r="G12" s="59" t="str">
        <f>smu</f>
        <v>Kes '000'</v>
      </c>
      <c r="J12" s="59">
        <f t="shared" ref="J12:BU12" si="0" xml:space="preserve"> I15</f>
        <v>0</v>
      </c>
      <c r="K12" s="59">
        <f t="shared" si="0"/>
        <v>0</v>
      </c>
      <c r="L12" s="59">
        <f t="shared" si="0"/>
        <v>0</v>
      </c>
      <c r="M12" s="59">
        <f t="shared" si="0"/>
        <v>0</v>
      </c>
      <c r="N12" s="59">
        <f t="shared" si="0"/>
        <v>0</v>
      </c>
      <c r="O12" s="59">
        <f t="shared" si="0"/>
        <v>0</v>
      </c>
      <c r="P12" s="59">
        <f t="shared" si="0"/>
        <v>1035600</v>
      </c>
      <c r="Q12" s="59">
        <f t="shared" si="0"/>
        <v>517800</v>
      </c>
      <c r="R12" s="59">
        <f t="shared" si="0"/>
        <v>0</v>
      </c>
      <c r="S12" s="59">
        <f t="shared" si="0"/>
        <v>0</v>
      </c>
      <c r="T12" s="59">
        <f t="shared" si="0"/>
        <v>0</v>
      </c>
      <c r="U12" s="59">
        <f t="shared" si="0"/>
        <v>0</v>
      </c>
      <c r="V12" s="59">
        <f t="shared" si="0"/>
        <v>0</v>
      </c>
      <c r="W12" s="59">
        <f t="shared" si="0"/>
        <v>0</v>
      </c>
      <c r="X12" s="59">
        <f t="shared" si="0"/>
        <v>0</v>
      </c>
      <c r="Y12" s="59">
        <f t="shared" si="0"/>
        <v>0</v>
      </c>
      <c r="Z12" s="59">
        <f t="shared" si="0"/>
        <v>0</v>
      </c>
      <c r="AA12" s="59">
        <f t="shared" si="0"/>
        <v>0</v>
      </c>
      <c r="AB12" s="59">
        <f t="shared" si="0"/>
        <v>0</v>
      </c>
      <c r="AC12" s="59">
        <f t="shared" si="0"/>
        <v>0</v>
      </c>
      <c r="AD12" s="59">
        <f t="shared" si="0"/>
        <v>0</v>
      </c>
      <c r="AE12" s="59">
        <f t="shared" si="0"/>
        <v>0</v>
      </c>
      <c r="AF12" s="59">
        <f t="shared" si="0"/>
        <v>0</v>
      </c>
      <c r="AG12" s="59">
        <f t="shared" si="0"/>
        <v>0</v>
      </c>
      <c r="AH12" s="59">
        <f t="shared" si="0"/>
        <v>0</v>
      </c>
      <c r="AI12" s="59">
        <f t="shared" si="0"/>
        <v>0</v>
      </c>
      <c r="AJ12" s="59">
        <f t="shared" si="0"/>
        <v>0</v>
      </c>
      <c r="AK12" s="59">
        <f t="shared" si="0"/>
        <v>0</v>
      </c>
      <c r="AL12" s="59">
        <f t="shared" si="0"/>
        <v>0</v>
      </c>
      <c r="AM12" s="59">
        <f t="shared" si="0"/>
        <v>0</v>
      </c>
      <c r="AN12" s="59">
        <f t="shared" si="0"/>
        <v>0</v>
      </c>
      <c r="AO12" s="59">
        <f t="shared" si="0"/>
        <v>0</v>
      </c>
      <c r="AP12" s="59">
        <f t="shared" si="0"/>
        <v>0</v>
      </c>
      <c r="AQ12" s="59">
        <f t="shared" si="0"/>
        <v>0</v>
      </c>
      <c r="AR12" s="59">
        <f t="shared" si="0"/>
        <v>0</v>
      </c>
      <c r="AS12" s="59">
        <f t="shared" si="0"/>
        <v>0</v>
      </c>
      <c r="AT12" s="59">
        <f t="shared" si="0"/>
        <v>0</v>
      </c>
      <c r="AU12" s="59">
        <f t="shared" si="0"/>
        <v>0</v>
      </c>
      <c r="AV12" s="59">
        <f t="shared" si="0"/>
        <v>0</v>
      </c>
      <c r="AW12" s="59">
        <f t="shared" si="0"/>
        <v>0</v>
      </c>
      <c r="AX12" s="59">
        <f t="shared" si="0"/>
        <v>0</v>
      </c>
      <c r="AY12" s="59">
        <f t="shared" si="0"/>
        <v>0</v>
      </c>
      <c r="AZ12" s="59">
        <f t="shared" si="0"/>
        <v>0</v>
      </c>
      <c r="BA12" s="59">
        <f t="shared" si="0"/>
        <v>0</v>
      </c>
      <c r="BB12" s="59">
        <f t="shared" si="0"/>
        <v>0</v>
      </c>
      <c r="BC12" s="59">
        <f t="shared" si="0"/>
        <v>0</v>
      </c>
      <c r="BD12" s="59">
        <f t="shared" si="0"/>
        <v>0</v>
      </c>
      <c r="BE12" s="59">
        <f t="shared" si="0"/>
        <v>0</v>
      </c>
      <c r="BF12" s="59">
        <f t="shared" si="0"/>
        <v>0</v>
      </c>
      <c r="BG12" s="59">
        <f t="shared" si="0"/>
        <v>0</v>
      </c>
      <c r="BH12" s="59">
        <f t="shared" si="0"/>
        <v>0</v>
      </c>
      <c r="BI12" s="59">
        <f t="shared" si="0"/>
        <v>0</v>
      </c>
      <c r="BJ12" s="59">
        <f t="shared" si="0"/>
        <v>0</v>
      </c>
      <c r="BK12" s="59">
        <f t="shared" si="0"/>
        <v>0</v>
      </c>
      <c r="BL12" s="59">
        <f t="shared" si="0"/>
        <v>0</v>
      </c>
      <c r="BM12" s="59">
        <f t="shared" si="0"/>
        <v>0</v>
      </c>
      <c r="BN12" s="59">
        <f t="shared" si="0"/>
        <v>0</v>
      </c>
      <c r="BO12" s="59">
        <f t="shared" si="0"/>
        <v>0</v>
      </c>
      <c r="BP12" s="59">
        <f t="shared" si="0"/>
        <v>0</v>
      </c>
      <c r="BQ12" s="59">
        <f t="shared" si="0"/>
        <v>0</v>
      </c>
      <c r="BR12" s="59">
        <f t="shared" si="0"/>
        <v>0</v>
      </c>
      <c r="BS12" s="59">
        <f t="shared" si="0"/>
        <v>0</v>
      </c>
      <c r="BT12" s="59">
        <f t="shared" si="0"/>
        <v>0</v>
      </c>
      <c r="BU12" s="59">
        <f t="shared" si="0"/>
        <v>0</v>
      </c>
      <c r="BV12" s="59">
        <f xml:space="preserve"> BU15</f>
        <v>0</v>
      </c>
      <c r="BW12" s="59">
        <f xml:space="preserve"> BV15</f>
        <v>0</v>
      </c>
      <c r="BX12" s="59">
        <f xml:space="preserve"> BW15</f>
        <v>0</v>
      </c>
      <c r="BY12" s="59">
        <f xml:space="preserve"> BX15</f>
        <v>0</v>
      </c>
    </row>
    <row r="13" spans="1:77" s="59" customFormat="1">
      <c r="A13" s="84"/>
      <c r="B13" s="84"/>
      <c r="C13" s="85"/>
      <c r="D13" s="356" t="s">
        <v>35</v>
      </c>
      <c r="E13" s="59" t="s">
        <v>303</v>
      </c>
    </row>
    <row r="14" spans="1:77" s="67" customFormat="1">
      <c r="A14" s="84"/>
      <c r="B14" s="84"/>
      <c r="C14" s="85"/>
      <c r="D14" s="356" t="s">
        <v>36</v>
      </c>
      <c r="E14" s="89" t="str">
        <f xml:space="preserve"> E$21</f>
        <v>MAT Loan repayment</v>
      </c>
      <c r="F14" s="89">
        <f t="shared" ref="F14:W14" si="1" xml:space="preserve"> F$21</f>
        <v>0</v>
      </c>
      <c r="G14" s="89">
        <f t="shared" si="1"/>
        <v>0</v>
      </c>
      <c r="H14" s="89">
        <f t="shared" si="1"/>
        <v>1035600</v>
      </c>
      <c r="I14" s="89"/>
      <c r="J14" s="89">
        <f t="shared" si="1"/>
        <v>0</v>
      </c>
      <c r="K14" s="89">
        <f t="shared" si="1"/>
        <v>0</v>
      </c>
      <c r="L14" s="89">
        <f t="shared" si="1"/>
        <v>0</v>
      </c>
      <c r="M14" s="89">
        <f t="shared" si="1"/>
        <v>0</v>
      </c>
      <c r="N14" s="89">
        <f t="shared" si="1"/>
        <v>0</v>
      </c>
      <c r="O14" s="89">
        <f t="shared" si="1"/>
        <v>0</v>
      </c>
      <c r="P14" s="89">
        <f t="shared" si="1"/>
        <v>517800</v>
      </c>
      <c r="Q14" s="89">
        <f t="shared" si="1"/>
        <v>517800</v>
      </c>
      <c r="R14" s="89">
        <f t="shared" si="1"/>
        <v>0</v>
      </c>
      <c r="S14" s="89">
        <f t="shared" si="1"/>
        <v>0</v>
      </c>
      <c r="T14" s="89">
        <f t="shared" si="1"/>
        <v>0</v>
      </c>
      <c r="U14" s="89">
        <f t="shared" si="1"/>
        <v>0</v>
      </c>
      <c r="V14" s="89">
        <f t="shared" si="1"/>
        <v>0</v>
      </c>
      <c r="W14" s="89">
        <f t="shared" si="1"/>
        <v>0</v>
      </c>
    </row>
    <row r="15" spans="1:77" s="362" customFormat="1">
      <c r="A15" s="358"/>
      <c r="B15" s="358"/>
      <c r="C15" s="359"/>
      <c r="D15" s="360"/>
      <c r="E15" s="361" t="s">
        <v>301</v>
      </c>
      <c r="G15" s="361" t="str">
        <f>smu</f>
        <v>Kes '000'</v>
      </c>
      <c r="I15" s="363"/>
      <c r="J15" s="362">
        <f xml:space="preserve"> IF(J10 = 1, $F9, J12 + J13 - J14)</f>
        <v>0</v>
      </c>
      <c r="K15" s="362">
        <f t="shared" ref="K15:BV15" si="2" xml:space="preserve"> IF(K10 = 1, $F9, K12 + K13 - K14)</f>
        <v>0</v>
      </c>
      <c r="L15" s="362">
        <f t="shared" si="2"/>
        <v>0</v>
      </c>
      <c r="M15" s="362">
        <f t="shared" si="2"/>
        <v>0</v>
      </c>
      <c r="N15" s="362">
        <f t="shared" si="2"/>
        <v>0</v>
      </c>
      <c r="O15" s="362">
        <f t="shared" si="2"/>
        <v>1035600</v>
      </c>
      <c r="P15" s="362">
        <f t="shared" si="2"/>
        <v>517800</v>
      </c>
      <c r="Q15" s="362">
        <f t="shared" si="2"/>
        <v>0</v>
      </c>
      <c r="R15" s="362">
        <f t="shared" si="2"/>
        <v>0</v>
      </c>
      <c r="S15" s="362">
        <f t="shared" si="2"/>
        <v>0</v>
      </c>
      <c r="T15" s="362">
        <f t="shared" si="2"/>
        <v>0</v>
      </c>
      <c r="U15" s="362">
        <f t="shared" si="2"/>
        <v>0</v>
      </c>
      <c r="V15" s="362">
        <f t="shared" si="2"/>
        <v>0</v>
      </c>
      <c r="W15" s="362">
        <f t="shared" si="2"/>
        <v>0</v>
      </c>
      <c r="X15" s="362">
        <f t="shared" si="2"/>
        <v>0</v>
      </c>
      <c r="Y15" s="362">
        <f t="shared" si="2"/>
        <v>0</v>
      </c>
      <c r="Z15" s="362">
        <f t="shared" si="2"/>
        <v>0</v>
      </c>
      <c r="AA15" s="362">
        <f t="shared" si="2"/>
        <v>0</v>
      </c>
      <c r="AB15" s="362">
        <f t="shared" si="2"/>
        <v>0</v>
      </c>
      <c r="AC15" s="362">
        <f t="shared" si="2"/>
        <v>0</v>
      </c>
      <c r="AD15" s="362">
        <f t="shared" si="2"/>
        <v>0</v>
      </c>
      <c r="AE15" s="362">
        <f t="shared" si="2"/>
        <v>0</v>
      </c>
      <c r="AF15" s="362">
        <f t="shared" si="2"/>
        <v>0</v>
      </c>
      <c r="AG15" s="362">
        <f t="shared" si="2"/>
        <v>0</v>
      </c>
      <c r="AH15" s="362">
        <f t="shared" si="2"/>
        <v>0</v>
      </c>
      <c r="AI15" s="362">
        <f t="shared" si="2"/>
        <v>0</v>
      </c>
      <c r="AJ15" s="362">
        <f t="shared" si="2"/>
        <v>0</v>
      </c>
      <c r="AK15" s="362">
        <f t="shared" si="2"/>
        <v>0</v>
      </c>
      <c r="AL15" s="362">
        <f t="shared" si="2"/>
        <v>0</v>
      </c>
      <c r="AM15" s="362">
        <f t="shared" si="2"/>
        <v>0</v>
      </c>
      <c r="AN15" s="362">
        <f t="shared" si="2"/>
        <v>0</v>
      </c>
      <c r="AO15" s="362">
        <f t="shared" si="2"/>
        <v>0</v>
      </c>
      <c r="AP15" s="362">
        <f t="shared" si="2"/>
        <v>0</v>
      </c>
      <c r="AQ15" s="362">
        <f t="shared" si="2"/>
        <v>0</v>
      </c>
      <c r="AR15" s="362">
        <f t="shared" si="2"/>
        <v>0</v>
      </c>
      <c r="AS15" s="362">
        <f t="shared" si="2"/>
        <v>0</v>
      </c>
      <c r="AT15" s="362">
        <f t="shared" si="2"/>
        <v>0</v>
      </c>
      <c r="AU15" s="362">
        <f t="shared" si="2"/>
        <v>0</v>
      </c>
      <c r="AV15" s="362">
        <f t="shared" si="2"/>
        <v>0</v>
      </c>
      <c r="AW15" s="362">
        <f t="shared" si="2"/>
        <v>0</v>
      </c>
      <c r="AX15" s="362">
        <f t="shared" si="2"/>
        <v>0</v>
      </c>
      <c r="AY15" s="362">
        <f t="shared" si="2"/>
        <v>0</v>
      </c>
      <c r="AZ15" s="362">
        <f t="shared" si="2"/>
        <v>0</v>
      </c>
      <c r="BA15" s="362">
        <f t="shared" si="2"/>
        <v>0</v>
      </c>
      <c r="BB15" s="362">
        <f t="shared" si="2"/>
        <v>0</v>
      </c>
      <c r="BC15" s="362">
        <f t="shared" si="2"/>
        <v>0</v>
      </c>
      <c r="BD15" s="362">
        <f t="shared" si="2"/>
        <v>0</v>
      </c>
      <c r="BE15" s="362">
        <f t="shared" si="2"/>
        <v>0</v>
      </c>
      <c r="BF15" s="362">
        <f t="shared" si="2"/>
        <v>0</v>
      </c>
      <c r="BG15" s="362">
        <f t="shared" si="2"/>
        <v>0</v>
      </c>
      <c r="BH15" s="362">
        <f t="shared" si="2"/>
        <v>0</v>
      </c>
      <c r="BI15" s="362">
        <f t="shared" si="2"/>
        <v>0</v>
      </c>
      <c r="BJ15" s="362">
        <f t="shared" si="2"/>
        <v>0</v>
      </c>
      <c r="BK15" s="362">
        <f t="shared" si="2"/>
        <v>0</v>
      </c>
      <c r="BL15" s="362">
        <f t="shared" si="2"/>
        <v>0</v>
      </c>
      <c r="BM15" s="362">
        <f t="shared" si="2"/>
        <v>0</v>
      </c>
      <c r="BN15" s="362">
        <f t="shared" si="2"/>
        <v>0</v>
      </c>
      <c r="BO15" s="362">
        <f t="shared" si="2"/>
        <v>0</v>
      </c>
      <c r="BP15" s="362">
        <f t="shared" si="2"/>
        <v>0</v>
      </c>
      <c r="BQ15" s="362">
        <f t="shared" si="2"/>
        <v>0</v>
      </c>
      <c r="BR15" s="362">
        <f t="shared" si="2"/>
        <v>0</v>
      </c>
      <c r="BS15" s="362">
        <f t="shared" si="2"/>
        <v>0</v>
      </c>
      <c r="BT15" s="362">
        <f t="shared" si="2"/>
        <v>0</v>
      </c>
      <c r="BU15" s="362">
        <f t="shared" si="2"/>
        <v>0</v>
      </c>
      <c r="BV15" s="362">
        <f t="shared" si="2"/>
        <v>0</v>
      </c>
      <c r="BW15" s="362">
        <f xml:space="preserve"> IF(BW10 = 1, $F9, BW12 + BW13 - BW14)</f>
        <v>0</v>
      </c>
      <c r="BX15" s="362">
        <f xml:space="preserve"> IF(BX10 = 1, $F9, BX12 + BX13 - BX14)</f>
        <v>0</v>
      </c>
      <c r="BY15" s="362">
        <f xml:space="preserve"> IF(BY10 = 1, $F9, BY12 + BY13 - BY14)</f>
        <v>0</v>
      </c>
    </row>
    <row r="16" spans="1:77" s="57" customFormat="1">
      <c r="A16" s="8"/>
      <c r="B16" s="84"/>
      <c r="C16" s="85"/>
      <c r="D16" s="62"/>
    </row>
    <row r="17" spans="1:23">
      <c r="C17" s="16" t="s">
        <v>306</v>
      </c>
    </row>
    <row r="18" spans="1:23" s="134" customFormat="1">
      <c r="A18" s="130"/>
      <c r="B18" s="131"/>
      <c r="C18" s="132"/>
      <c r="D18" s="133"/>
    </row>
    <row r="19" spans="1:23">
      <c r="E19" s="355" t="str">
        <f xml:space="preserve"> InpC!E$40</f>
        <v>MAT Loan - Initial balance</v>
      </c>
      <c r="F19" s="355">
        <f xml:space="preserve"> InpC!F$40</f>
        <v>1035600</v>
      </c>
      <c r="G19" s="355" t="str">
        <f xml:space="preserve"> InpC!G$40</f>
        <v>Kes '000'</v>
      </c>
      <c r="H19" s="355">
        <f xml:space="preserve"> InpC!H$40</f>
        <v>0</v>
      </c>
      <c r="I19" s="355"/>
      <c r="J19" s="355">
        <f xml:space="preserve"> InpC!J$40</f>
        <v>0</v>
      </c>
      <c r="K19" s="355">
        <f xml:space="preserve"> InpC!K$40</f>
        <v>0</v>
      </c>
      <c r="L19" s="355">
        <f xml:space="preserve"> InpC!L$40</f>
        <v>0</v>
      </c>
      <c r="M19" s="355">
        <f xml:space="preserve"> InpC!M$40</f>
        <v>0</v>
      </c>
      <c r="N19" s="355">
        <f xml:space="preserve"> InpC!N$40</f>
        <v>0</v>
      </c>
      <c r="O19" s="355">
        <f xml:space="preserve"> InpC!O$40</f>
        <v>0</v>
      </c>
      <c r="P19" s="355">
        <f xml:space="preserve"> InpC!P$40</f>
        <v>0</v>
      </c>
      <c r="Q19" s="355">
        <f xml:space="preserve"> InpC!Q$40</f>
        <v>0</v>
      </c>
      <c r="R19" s="355">
        <f xml:space="preserve"> InpC!R$40</f>
        <v>0</v>
      </c>
      <c r="S19" s="355">
        <f xml:space="preserve"> InpC!S$40</f>
        <v>0</v>
      </c>
      <c r="T19" s="355">
        <f xml:space="preserve"> InpC!T$40</f>
        <v>0</v>
      </c>
      <c r="U19" s="355">
        <f xml:space="preserve"> InpC!U$40</f>
        <v>0</v>
      </c>
      <c r="V19" s="355">
        <f xml:space="preserve"> InpC!V$40</f>
        <v>0</v>
      </c>
      <c r="W19" s="355">
        <f xml:space="preserve"> InpC!W$40</f>
        <v>0</v>
      </c>
    </row>
    <row r="20" spans="1:23">
      <c r="E20" s="357" t="str">
        <f xml:space="preserve"> InpS!E$63</f>
        <v>MAT Loan balance repayment</v>
      </c>
      <c r="F20" s="357">
        <f xml:space="preserve"> InpS!F$63</f>
        <v>0</v>
      </c>
      <c r="G20" s="357" t="str">
        <f xml:space="preserve"> InpS!G$63</f>
        <v>%</v>
      </c>
      <c r="H20" s="357">
        <f xml:space="preserve"> InpS!H$63</f>
        <v>1</v>
      </c>
      <c r="I20" s="357"/>
      <c r="J20" s="357">
        <f xml:space="preserve"> InpS!J$63</f>
        <v>0</v>
      </c>
      <c r="K20" s="357">
        <f xml:space="preserve"> InpS!K$63</f>
        <v>0</v>
      </c>
      <c r="L20" s="357">
        <f xml:space="preserve"> InpS!L$63</f>
        <v>0</v>
      </c>
      <c r="M20" s="357">
        <f xml:space="preserve"> InpS!M$63</f>
        <v>0</v>
      </c>
      <c r="N20" s="357">
        <f xml:space="preserve"> InpS!N$63</f>
        <v>0</v>
      </c>
      <c r="O20" s="357">
        <f xml:space="preserve"> InpS!O$63</f>
        <v>0</v>
      </c>
      <c r="P20" s="357">
        <f xml:space="preserve"> InpS!P$63</f>
        <v>0.5</v>
      </c>
      <c r="Q20" s="357">
        <f xml:space="preserve"> InpS!Q$63</f>
        <v>0.5</v>
      </c>
      <c r="R20" s="357">
        <f xml:space="preserve"> InpS!R$63</f>
        <v>0</v>
      </c>
      <c r="S20" s="357">
        <f xml:space="preserve"> InpS!S$63</f>
        <v>0</v>
      </c>
      <c r="T20" s="357">
        <f xml:space="preserve"> InpS!T$63</f>
        <v>0</v>
      </c>
      <c r="U20" s="357">
        <f xml:space="preserve"> InpS!U$63</f>
        <v>0</v>
      </c>
      <c r="V20" s="357">
        <f xml:space="preserve"> InpS!V$63</f>
        <v>0</v>
      </c>
      <c r="W20" s="357">
        <f xml:space="preserve"> InpS!W$63</f>
        <v>0</v>
      </c>
    </row>
    <row r="21" spans="1:23">
      <c r="E21" s="58" t="s">
        <v>307</v>
      </c>
      <c r="H21" s="58">
        <f xml:space="preserve"> SUM(J21:W21)</f>
        <v>1035600</v>
      </c>
      <c r="J21" s="58">
        <f>J20*$F$19</f>
        <v>0</v>
      </c>
      <c r="K21" s="58">
        <f t="shared" ref="K21:W21" si="3">K20*$F$19</f>
        <v>0</v>
      </c>
      <c r="L21" s="58">
        <f t="shared" si="3"/>
        <v>0</v>
      </c>
      <c r="M21" s="58">
        <f t="shared" si="3"/>
        <v>0</v>
      </c>
      <c r="N21" s="58">
        <f t="shared" si="3"/>
        <v>0</v>
      </c>
      <c r="O21" s="58">
        <f t="shared" si="3"/>
        <v>0</v>
      </c>
      <c r="P21" s="58">
        <f t="shared" si="3"/>
        <v>517800</v>
      </c>
      <c r="Q21" s="58">
        <f t="shared" si="3"/>
        <v>517800</v>
      </c>
      <c r="R21" s="58">
        <f t="shared" si="3"/>
        <v>0</v>
      </c>
      <c r="S21" s="58">
        <f t="shared" si="3"/>
        <v>0</v>
      </c>
      <c r="T21" s="58">
        <f t="shared" si="3"/>
        <v>0</v>
      </c>
      <c r="U21" s="58">
        <f t="shared" si="3"/>
        <v>0</v>
      </c>
      <c r="V21" s="58">
        <f t="shared" si="3"/>
        <v>0</v>
      </c>
      <c r="W21" s="58">
        <f t="shared" si="3"/>
        <v>0</v>
      </c>
    </row>
    <row r="22" spans="1:23">
      <c r="E22" s="141" t="str">
        <f xml:space="preserve"> LEFT(E21, LEN(E21) - 4)</f>
        <v>MAT Loan repay</v>
      </c>
      <c r="F22" s="141"/>
      <c r="G22" s="141" t="str">
        <f>smu</f>
        <v>Kes '000'</v>
      </c>
      <c r="H22" s="141">
        <f>SUM(J22:CA22)</f>
        <v>-1035600</v>
      </c>
      <c r="I22" s="141"/>
      <c r="J22" s="141">
        <f t="shared" ref="J22:W22" si="4" xml:space="preserve"> -1 * J21</f>
        <v>0</v>
      </c>
      <c r="K22" s="141">
        <f t="shared" si="4"/>
        <v>0</v>
      </c>
      <c r="L22" s="141">
        <f t="shared" si="4"/>
        <v>0</v>
      </c>
      <c r="M22" s="141">
        <f t="shared" si="4"/>
        <v>0</v>
      </c>
      <c r="N22" s="141">
        <f t="shared" si="4"/>
        <v>0</v>
      </c>
      <c r="O22" s="141">
        <f t="shared" si="4"/>
        <v>0</v>
      </c>
      <c r="P22" s="141">
        <f t="shared" si="4"/>
        <v>-517800</v>
      </c>
      <c r="Q22" s="141">
        <f t="shared" si="4"/>
        <v>-517800</v>
      </c>
      <c r="R22" s="141">
        <f t="shared" si="4"/>
        <v>0</v>
      </c>
      <c r="S22" s="141">
        <f t="shared" si="4"/>
        <v>0</v>
      </c>
      <c r="T22" s="141">
        <f t="shared" si="4"/>
        <v>0</v>
      </c>
      <c r="U22" s="141">
        <f t="shared" si="4"/>
        <v>0</v>
      </c>
      <c r="V22" s="141">
        <f t="shared" si="4"/>
        <v>0</v>
      </c>
      <c r="W22" s="141">
        <f t="shared" si="4"/>
        <v>0</v>
      </c>
    </row>
    <row r="23" spans="1:23">
      <c r="F23" s="3"/>
      <c r="N23" s="2"/>
    </row>
    <row r="24" spans="1:23">
      <c r="A24" s="10" t="s">
        <v>308</v>
      </c>
      <c r="G24" s="1"/>
    </row>
    <row r="25" spans="1:23">
      <c r="E25" s="282" t="str">
        <f xml:space="preserve"> InpC!E$41</f>
        <v>MAT Loan Interest Rate</v>
      </c>
      <c r="F25" s="357">
        <f xml:space="preserve"> InpC!F$41</f>
        <v>0.15</v>
      </c>
      <c r="G25" s="282" t="str">
        <f xml:space="preserve"> InpC!G$41</f>
        <v>%</v>
      </c>
      <c r="H25" s="282">
        <f xml:space="preserve"> InpC!H$41</f>
        <v>0</v>
      </c>
      <c r="I25" s="282"/>
      <c r="J25" s="282"/>
      <c r="K25" s="282"/>
      <c r="L25" s="282"/>
      <c r="M25" s="282"/>
      <c r="N25" s="282"/>
      <c r="O25" s="282"/>
      <c r="P25" s="282"/>
      <c r="Q25" s="282"/>
      <c r="R25" s="282"/>
      <c r="S25" s="282"/>
      <c r="T25" s="282"/>
      <c r="U25" s="282"/>
      <c r="V25" s="282"/>
      <c r="W25" s="282"/>
    </row>
    <row r="26" spans="1:23">
      <c r="E26" s="27" t="str">
        <f xml:space="preserve"> E$12</f>
        <v>MAT Loan balance BEG</v>
      </c>
      <c r="F26" s="27">
        <f t="shared" ref="F26:W26" si="5" xml:space="preserve"> F$12</f>
        <v>0</v>
      </c>
      <c r="G26" s="27" t="str">
        <f t="shared" si="5"/>
        <v>Kes '000'</v>
      </c>
      <c r="H26" s="27"/>
      <c r="I26" s="27"/>
      <c r="J26" s="27">
        <f t="shared" si="5"/>
        <v>0</v>
      </c>
      <c r="K26" s="27">
        <f t="shared" si="5"/>
        <v>0</v>
      </c>
      <c r="L26" s="27">
        <f t="shared" si="5"/>
        <v>0</v>
      </c>
      <c r="M26" s="27">
        <f t="shared" si="5"/>
        <v>0</v>
      </c>
      <c r="N26" s="27">
        <f t="shared" si="5"/>
        <v>0</v>
      </c>
      <c r="O26" s="27">
        <f t="shared" si="5"/>
        <v>0</v>
      </c>
      <c r="P26" s="27">
        <f t="shared" si="5"/>
        <v>1035600</v>
      </c>
      <c r="Q26" s="27">
        <f t="shared" si="5"/>
        <v>517800</v>
      </c>
      <c r="R26" s="27">
        <f t="shared" si="5"/>
        <v>0</v>
      </c>
      <c r="S26" s="27">
        <f t="shared" si="5"/>
        <v>0</v>
      </c>
      <c r="T26" s="27">
        <f t="shared" si="5"/>
        <v>0</v>
      </c>
      <c r="U26" s="27">
        <f t="shared" si="5"/>
        <v>0</v>
      </c>
      <c r="V26" s="27">
        <f t="shared" si="5"/>
        <v>0</v>
      </c>
      <c r="W26" s="27">
        <f t="shared" si="5"/>
        <v>0</v>
      </c>
    </row>
    <row r="27" spans="1:23">
      <c r="E27" s="19" t="s">
        <v>310</v>
      </c>
      <c r="F27" s="19"/>
      <c r="G27" s="19" t="str">
        <f>smu</f>
        <v>Kes '000'</v>
      </c>
      <c r="H27" s="19">
        <f xml:space="preserve"> SUM(J27:W27)</f>
        <v>233010</v>
      </c>
      <c r="I27" s="19"/>
      <c r="J27" s="58">
        <f>J26*$F$25</f>
        <v>0</v>
      </c>
      <c r="K27" s="58">
        <f t="shared" ref="K27:W27" si="6">K26*$F$25</f>
        <v>0</v>
      </c>
      <c r="L27" s="58">
        <f t="shared" si="6"/>
        <v>0</v>
      </c>
      <c r="M27" s="58">
        <f t="shared" si="6"/>
        <v>0</v>
      </c>
      <c r="N27" s="58">
        <f t="shared" si="6"/>
        <v>0</v>
      </c>
      <c r="O27" s="58">
        <f t="shared" si="6"/>
        <v>0</v>
      </c>
      <c r="P27" s="58">
        <f t="shared" si="6"/>
        <v>155340</v>
      </c>
      <c r="Q27" s="58">
        <f t="shared" si="6"/>
        <v>77670</v>
      </c>
      <c r="R27" s="58">
        <f t="shared" si="6"/>
        <v>0</v>
      </c>
      <c r="S27" s="58">
        <f t="shared" si="6"/>
        <v>0</v>
      </c>
      <c r="T27" s="58">
        <f t="shared" si="6"/>
        <v>0</v>
      </c>
      <c r="U27" s="58">
        <f t="shared" si="6"/>
        <v>0</v>
      </c>
      <c r="V27" s="58">
        <f t="shared" si="6"/>
        <v>0</v>
      </c>
      <c r="W27" s="58">
        <f t="shared" si="6"/>
        <v>0</v>
      </c>
    </row>
    <row r="28" spans="1:23">
      <c r="E28" s="141" t="str">
        <f xml:space="preserve"> LEFT(E27, LEN(E27) - 4)</f>
        <v>MAT Loan Interest</v>
      </c>
      <c r="F28" s="141"/>
      <c r="G28" s="141" t="str">
        <f xml:space="preserve"> G27</f>
        <v>Kes '000'</v>
      </c>
      <c r="H28" s="141">
        <f>SUM(J28:CA28)</f>
        <v>-233010</v>
      </c>
      <c r="I28" s="141"/>
      <c r="J28" s="141">
        <f t="shared" ref="J28:W28" si="7" xml:space="preserve"> -1 * J27</f>
        <v>0</v>
      </c>
      <c r="K28" s="141">
        <f t="shared" si="7"/>
        <v>0</v>
      </c>
      <c r="L28" s="141">
        <f t="shared" si="7"/>
        <v>0</v>
      </c>
      <c r="M28" s="141">
        <f t="shared" si="7"/>
        <v>0</v>
      </c>
      <c r="N28" s="141">
        <f t="shared" si="7"/>
        <v>0</v>
      </c>
      <c r="O28" s="141">
        <f t="shared" si="7"/>
        <v>0</v>
      </c>
      <c r="P28" s="141">
        <f t="shared" si="7"/>
        <v>-155340</v>
      </c>
      <c r="Q28" s="141">
        <f t="shared" si="7"/>
        <v>-77670</v>
      </c>
      <c r="R28" s="141">
        <f t="shared" si="7"/>
        <v>0</v>
      </c>
      <c r="S28" s="141">
        <f t="shared" si="7"/>
        <v>0</v>
      </c>
      <c r="T28" s="141">
        <f t="shared" si="7"/>
        <v>0</v>
      </c>
      <c r="U28" s="141">
        <f t="shared" si="7"/>
        <v>0</v>
      </c>
      <c r="V28" s="141">
        <f t="shared" si="7"/>
        <v>0</v>
      </c>
      <c r="W28" s="141">
        <f t="shared" si="7"/>
        <v>0</v>
      </c>
    </row>
    <row r="30" spans="1:23">
      <c r="A30" s="10" t="s">
        <v>311</v>
      </c>
    </row>
    <row r="32" spans="1:23" s="65" customFormat="1">
      <c r="A32" s="364"/>
      <c r="B32" s="364"/>
      <c r="C32" s="365"/>
      <c r="D32" s="366"/>
      <c r="E32" s="355" t="str">
        <f xml:space="preserve"> InpC!E$43</f>
        <v>MAT Term Loan - Initial balance</v>
      </c>
      <c r="F32" s="355">
        <f xml:space="preserve"> InpC!F$43</f>
        <v>0</v>
      </c>
      <c r="G32" s="355" t="str">
        <f>smu</f>
        <v>Kes '000'</v>
      </c>
    </row>
    <row r="33" spans="1:77" s="15" customFormat="1">
      <c r="A33" s="35"/>
      <c r="B33" s="35"/>
      <c r="C33" s="36"/>
      <c r="D33" s="69"/>
      <c r="E33" s="15" t="str">
        <f>Time!E$33</f>
        <v>Acquisition / initial balance date flag</v>
      </c>
      <c r="F33" s="15">
        <f>Time!F$33</f>
        <v>0</v>
      </c>
      <c r="G33" s="15" t="str">
        <f>Time!G$33</f>
        <v>flag</v>
      </c>
      <c r="H33" s="15">
        <f>Time!H$33</f>
        <v>1</v>
      </c>
      <c r="I33" s="15">
        <f>Time!I$33</f>
        <v>0</v>
      </c>
      <c r="J33" s="15">
        <f>Time!J$33</f>
        <v>0</v>
      </c>
      <c r="K33" s="15">
        <f>Time!K$33</f>
        <v>0</v>
      </c>
      <c r="L33" s="15">
        <f>Time!L$33</f>
        <v>0</v>
      </c>
      <c r="M33" s="15">
        <f>Time!M$33</f>
        <v>0</v>
      </c>
      <c r="N33" s="15">
        <f>Time!N$33</f>
        <v>0</v>
      </c>
      <c r="O33" s="15">
        <f>Time!O$33</f>
        <v>1</v>
      </c>
      <c r="P33" s="15">
        <f>Time!P$33</f>
        <v>0</v>
      </c>
      <c r="Q33" s="15">
        <f>Time!Q$33</f>
        <v>0</v>
      </c>
      <c r="R33" s="15">
        <f>Time!R$33</f>
        <v>0</v>
      </c>
      <c r="S33" s="15">
        <f>Time!S$33</f>
        <v>0</v>
      </c>
      <c r="T33" s="15">
        <f>Time!T$33</f>
        <v>0</v>
      </c>
      <c r="U33" s="15">
        <f>Time!U$33</f>
        <v>0</v>
      </c>
      <c r="V33" s="15">
        <f>Time!V$33</f>
        <v>0</v>
      </c>
      <c r="W33" s="15">
        <f>Time!W$33</f>
        <v>0</v>
      </c>
      <c r="X33" s="15">
        <f>Time!X$33</f>
        <v>0</v>
      </c>
      <c r="Y33" s="15">
        <f>Time!Y$33</f>
        <v>0</v>
      </c>
      <c r="Z33" s="15">
        <f>Time!Z$33</f>
        <v>0</v>
      </c>
      <c r="AA33" s="15">
        <f>Time!AA$33</f>
        <v>0</v>
      </c>
      <c r="AB33" s="15">
        <f>Time!AB$33</f>
        <v>0</v>
      </c>
      <c r="AC33" s="15">
        <f>Time!AC$33</f>
        <v>0</v>
      </c>
      <c r="AD33" s="15">
        <f>Time!AD$33</f>
        <v>0</v>
      </c>
      <c r="AE33" s="15">
        <f>Time!AE$33</f>
        <v>0</v>
      </c>
      <c r="AF33" s="15">
        <f>Time!AF$33</f>
        <v>0</v>
      </c>
      <c r="AG33" s="15">
        <f>Time!AG$33</f>
        <v>0</v>
      </c>
      <c r="AH33" s="15">
        <f>Time!AH$33</f>
        <v>0</v>
      </c>
      <c r="AI33" s="15">
        <f>Time!AI$33</f>
        <v>0</v>
      </c>
      <c r="AJ33" s="15">
        <f>Time!AJ$33</f>
        <v>0</v>
      </c>
      <c r="AK33" s="15">
        <f>Time!AK$33</f>
        <v>0</v>
      </c>
      <c r="AL33" s="15">
        <f>Time!AL$33</f>
        <v>0</v>
      </c>
      <c r="AM33" s="15">
        <f>Time!AM$33</f>
        <v>0</v>
      </c>
      <c r="AN33" s="15">
        <f>Time!AN$33</f>
        <v>0</v>
      </c>
      <c r="AO33" s="15">
        <f>Time!AO$33</f>
        <v>0</v>
      </c>
      <c r="AP33" s="15">
        <f>Time!AP$33</f>
        <v>0</v>
      </c>
      <c r="AQ33" s="15">
        <f>Time!AQ$33</f>
        <v>0</v>
      </c>
      <c r="AR33" s="15">
        <f>Time!AR$33</f>
        <v>0</v>
      </c>
      <c r="AS33" s="15">
        <f>Time!AS$33</f>
        <v>0</v>
      </c>
      <c r="AT33" s="15">
        <f>Time!AT$33</f>
        <v>0</v>
      </c>
      <c r="AU33" s="15">
        <f>Time!AU$33</f>
        <v>0</v>
      </c>
      <c r="AV33" s="15">
        <f>Time!AV$33</f>
        <v>0</v>
      </c>
      <c r="AW33" s="15">
        <f>Time!AW$33</f>
        <v>0</v>
      </c>
      <c r="AX33" s="15">
        <f>Time!AX$33</f>
        <v>0</v>
      </c>
      <c r="AY33" s="15">
        <f>Time!AY$33</f>
        <v>0</v>
      </c>
      <c r="AZ33" s="15">
        <f>Time!AZ$33</f>
        <v>0</v>
      </c>
      <c r="BA33" s="15">
        <f>Time!BA$33</f>
        <v>0</v>
      </c>
      <c r="BB33" s="15">
        <f>Time!BB$33</f>
        <v>0</v>
      </c>
      <c r="BC33" s="15">
        <f>Time!BC$33</f>
        <v>0</v>
      </c>
      <c r="BD33" s="15">
        <f>Time!BD$33</f>
        <v>0</v>
      </c>
      <c r="BE33" s="15">
        <f>Time!BE$33</f>
        <v>0</v>
      </c>
      <c r="BF33" s="15">
        <f>Time!BF$33</f>
        <v>0</v>
      </c>
      <c r="BG33" s="15">
        <f>Time!BG$33</f>
        <v>0</v>
      </c>
      <c r="BH33" s="15">
        <f>Time!BH$33</f>
        <v>0</v>
      </c>
      <c r="BI33" s="15">
        <f>Time!BI$33</f>
        <v>0</v>
      </c>
      <c r="BJ33" s="15">
        <f>Time!BJ$33</f>
        <v>0</v>
      </c>
      <c r="BK33" s="15">
        <f>Time!BK$33</f>
        <v>0</v>
      </c>
      <c r="BL33" s="15">
        <f>Time!BL$33</f>
        <v>0</v>
      </c>
      <c r="BM33" s="15">
        <f>Time!BM$33</f>
        <v>0</v>
      </c>
      <c r="BN33" s="15">
        <f>Time!BN$33</f>
        <v>0</v>
      </c>
      <c r="BO33" s="15">
        <f>Time!BO$33</f>
        <v>0</v>
      </c>
      <c r="BP33" s="15">
        <f>Time!BP$33</f>
        <v>0</v>
      </c>
      <c r="BQ33" s="15">
        <f>Time!BQ$33</f>
        <v>0</v>
      </c>
      <c r="BR33" s="15">
        <f>Time!BR$33</f>
        <v>0</v>
      </c>
      <c r="BS33" s="15">
        <f>Time!BS$33</f>
        <v>0</v>
      </c>
      <c r="BT33" s="15">
        <f>Time!BT$33</f>
        <v>0</v>
      </c>
      <c r="BU33" s="15">
        <f>Time!BU$33</f>
        <v>0</v>
      </c>
      <c r="BV33" s="15">
        <f>Time!BV$33</f>
        <v>0</v>
      </c>
      <c r="BW33" s="15">
        <f>Time!BW$33</f>
        <v>0</v>
      </c>
      <c r="BX33" s="15">
        <f>Time!BX$33</f>
        <v>0</v>
      </c>
      <c r="BY33" s="15">
        <f>Time!BY$33</f>
        <v>0</v>
      </c>
    </row>
    <row r="34" spans="1:77" s="57" customFormat="1">
      <c r="A34" s="8"/>
      <c r="B34" s="8"/>
      <c r="C34" s="9"/>
      <c r="D34" s="62"/>
    </row>
    <row r="35" spans="1:77" s="57" customFormat="1">
      <c r="A35" s="8"/>
      <c r="B35" s="8"/>
      <c r="C35" s="9"/>
      <c r="D35" s="62"/>
      <c r="E35" s="59" t="s">
        <v>313</v>
      </c>
      <c r="G35" s="59" t="str">
        <f>smu</f>
        <v>Kes '000'</v>
      </c>
      <c r="J35" s="57">
        <f t="shared" ref="J35:BU35" si="8" xml:space="preserve"> I38</f>
        <v>0</v>
      </c>
      <c r="K35" s="57">
        <f t="shared" si="8"/>
        <v>0</v>
      </c>
      <c r="L35" s="57">
        <f t="shared" si="8"/>
        <v>0</v>
      </c>
      <c r="M35" s="57">
        <f t="shared" si="8"/>
        <v>0</v>
      </c>
      <c r="N35" s="57">
        <f t="shared" si="8"/>
        <v>0</v>
      </c>
      <c r="O35" s="57">
        <f t="shared" si="8"/>
        <v>0</v>
      </c>
      <c r="P35" s="57">
        <f t="shared" si="8"/>
        <v>0</v>
      </c>
      <c r="Q35" s="57">
        <f t="shared" si="8"/>
        <v>1000000</v>
      </c>
      <c r="R35" s="57">
        <f t="shared" si="8"/>
        <v>1500000</v>
      </c>
      <c r="S35" s="57">
        <f t="shared" si="8"/>
        <v>2000000</v>
      </c>
      <c r="T35" s="57">
        <f t="shared" si="8"/>
        <v>3000000</v>
      </c>
      <c r="U35" s="57">
        <f t="shared" si="8"/>
        <v>2400000</v>
      </c>
      <c r="V35" s="57">
        <f t="shared" si="8"/>
        <v>1800000</v>
      </c>
      <c r="W35" s="57">
        <f t="shared" si="8"/>
        <v>1800000</v>
      </c>
      <c r="X35" s="57">
        <f t="shared" si="8"/>
        <v>1800000</v>
      </c>
      <c r="Y35" s="57">
        <f t="shared" si="8"/>
        <v>1800000</v>
      </c>
      <c r="Z35" s="57">
        <f t="shared" si="8"/>
        <v>1800000</v>
      </c>
      <c r="AA35" s="57">
        <f t="shared" si="8"/>
        <v>1800000</v>
      </c>
      <c r="AB35" s="57">
        <f t="shared" si="8"/>
        <v>1800000</v>
      </c>
      <c r="AC35" s="57">
        <f t="shared" si="8"/>
        <v>1800000</v>
      </c>
      <c r="AD35" s="57">
        <f t="shared" si="8"/>
        <v>1800000</v>
      </c>
      <c r="AE35" s="57">
        <f t="shared" si="8"/>
        <v>1800000</v>
      </c>
      <c r="AF35" s="57">
        <f t="shared" si="8"/>
        <v>1800000</v>
      </c>
      <c r="AG35" s="57">
        <f t="shared" si="8"/>
        <v>1800000</v>
      </c>
      <c r="AH35" s="57">
        <f t="shared" si="8"/>
        <v>1800000</v>
      </c>
      <c r="AI35" s="57">
        <f t="shared" si="8"/>
        <v>1800000</v>
      </c>
      <c r="AJ35" s="57">
        <f t="shared" si="8"/>
        <v>1800000</v>
      </c>
      <c r="AK35" s="57">
        <f t="shared" si="8"/>
        <v>1800000</v>
      </c>
      <c r="AL35" s="57">
        <f t="shared" si="8"/>
        <v>1800000</v>
      </c>
      <c r="AM35" s="57">
        <f t="shared" si="8"/>
        <v>1800000</v>
      </c>
      <c r="AN35" s="57">
        <f t="shared" si="8"/>
        <v>1800000</v>
      </c>
      <c r="AO35" s="57">
        <f t="shared" si="8"/>
        <v>1800000</v>
      </c>
      <c r="AP35" s="57">
        <f t="shared" si="8"/>
        <v>1800000</v>
      </c>
      <c r="AQ35" s="57">
        <f t="shared" si="8"/>
        <v>1800000</v>
      </c>
      <c r="AR35" s="57">
        <f t="shared" si="8"/>
        <v>1800000</v>
      </c>
      <c r="AS35" s="57">
        <f t="shared" si="8"/>
        <v>1800000</v>
      </c>
      <c r="AT35" s="57">
        <f t="shared" si="8"/>
        <v>1800000</v>
      </c>
      <c r="AU35" s="57">
        <f t="shared" si="8"/>
        <v>1800000</v>
      </c>
      <c r="AV35" s="57">
        <f t="shared" si="8"/>
        <v>1800000</v>
      </c>
      <c r="AW35" s="57">
        <f t="shared" si="8"/>
        <v>1800000</v>
      </c>
      <c r="AX35" s="57">
        <f t="shared" si="8"/>
        <v>1800000</v>
      </c>
      <c r="AY35" s="57">
        <f t="shared" si="8"/>
        <v>1800000</v>
      </c>
      <c r="AZ35" s="57">
        <f t="shared" si="8"/>
        <v>1800000</v>
      </c>
      <c r="BA35" s="57">
        <f t="shared" si="8"/>
        <v>1800000</v>
      </c>
      <c r="BB35" s="57">
        <f t="shared" si="8"/>
        <v>1800000</v>
      </c>
      <c r="BC35" s="57">
        <f t="shared" si="8"/>
        <v>1800000</v>
      </c>
      <c r="BD35" s="57">
        <f t="shared" si="8"/>
        <v>1800000</v>
      </c>
      <c r="BE35" s="57">
        <f t="shared" si="8"/>
        <v>1800000</v>
      </c>
      <c r="BF35" s="57">
        <f t="shared" si="8"/>
        <v>1800000</v>
      </c>
      <c r="BG35" s="57">
        <f t="shared" si="8"/>
        <v>1800000</v>
      </c>
      <c r="BH35" s="57">
        <f t="shared" si="8"/>
        <v>1800000</v>
      </c>
      <c r="BI35" s="57">
        <f t="shared" si="8"/>
        <v>1800000</v>
      </c>
      <c r="BJ35" s="57">
        <f t="shared" si="8"/>
        <v>1800000</v>
      </c>
      <c r="BK35" s="57">
        <f t="shared" si="8"/>
        <v>1800000</v>
      </c>
      <c r="BL35" s="57">
        <f t="shared" si="8"/>
        <v>1800000</v>
      </c>
      <c r="BM35" s="57">
        <f t="shared" si="8"/>
        <v>1800000</v>
      </c>
      <c r="BN35" s="57">
        <f t="shared" si="8"/>
        <v>1800000</v>
      </c>
      <c r="BO35" s="57">
        <f t="shared" si="8"/>
        <v>1800000</v>
      </c>
      <c r="BP35" s="57">
        <f t="shared" si="8"/>
        <v>1800000</v>
      </c>
      <c r="BQ35" s="57">
        <f t="shared" si="8"/>
        <v>1800000</v>
      </c>
      <c r="BR35" s="57">
        <f t="shared" si="8"/>
        <v>1800000</v>
      </c>
      <c r="BS35" s="57">
        <f t="shared" si="8"/>
        <v>1800000</v>
      </c>
      <c r="BT35" s="57">
        <f t="shared" si="8"/>
        <v>1800000</v>
      </c>
      <c r="BU35" s="57">
        <f t="shared" si="8"/>
        <v>1800000</v>
      </c>
      <c r="BV35" s="57">
        <f xml:space="preserve"> BU38</f>
        <v>1800000</v>
      </c>
      <c r="BW35" s="57">
        <f xml:space="preserve"> BV38</f>
        <v>1800000</v>
      </c>
      <c r="BX35" s="57">
        <f xml:space="preserve"> BW38</f>
        <v>1800000</v>
      </c>
      <c r="BY35" s="57">
        <f xml:space="preserve"> BX38</f>
        <v>1800000</v>
      </c>
    </row>
    <row r="36" spans="1:77" s="59" customFormat="1">
      <c r="A36" s="84"/>
      <c r="B36" s="84"/>
      <c r="C36" s="85"/>
      <c r="D36" s="356" t="s">
        <v>35</v>
      </c>
      <c r="E36" s="367" t="str">
        <f xml:space="preserve"> InpS!E$66</f>
        <v>MAT Term loan drawdown</v>
      </c>
      <c r="F36" s="367">
        <f xml:space="preserve"> InpS!F$66</f>
        <v>0</v>
      </c>
      <c r="G36" s="367" t="str">
        <f xml:space="preserve"> InpS!G$66</f>
        <v>Kes '000'</v>
      </c>
      <c r="H36" s="367">
        <f xml:space="preserve"> InpS!H$66</f>
        <v>3000000</v>
      </c>
      <c r="I36" s="367">
        <f xml:space="preserve"> InpS!I$66</f>
        <v>0</v>
      </c>
      <c r="J36" s="367">
        <f xml:space="preserve"> InpS!J$66</f>
        <v>0</v>
      </c>
      <c r="K36" s="367">
        <f xml:space="preserve"> InpS!K$66</f>
        <v>0</v>
      </c>
      <c r="L36" s="367">
        <f xml:space="preserve"> InpS!L$66</f>
        <v>0</v>
      </c>
      <c r="M36" s="367">
        <f xml:space="preserve"> InpS!M$66</f>
        <v>0</v>
      </c>
      <c r="N36" s="367">
        <f xml:space="preserve"> InpS!N$66</f>
        <v>0</v>
      </c>
      <c r="O36" s="367">
        <f xml:space="preserve"> InpS!O$66</f>
        <v>0</v>
      </c>
      <c r="P36" s="367">
        <f xml:space="preserve"> InpS!P$66</f>
        <v>1000000</v>
      </c>
      <c r="Q36" s="367">
        <f xml:space="preserve"> InpS!Q$66</f>
        <v>500000</v>
      </c>
      <c r="R36" s="367">
        <f xml:space="preserve"> InpS!R$66</f>
        <v>500000</v>
      </c>
      <c r="S36" s="367">
        <f xml:space="preserve"> InpS!S$66</f>
        <v>1000000</v>
      </c>
      <c r="T36" s="367">
        <f xml:space="preserve"> InpS!T$66</f>
        <v>0</v>
      </c>
      <c r="U36" s="367">
        <f xml:space="preserve"> InpS!U$66</f>
        <v>0</v>
      </c>
      <c r="V36" s="367">
        <f xml:space="preserve"> InpS!V$66</f>
        <v>0</v>
      </c>
      <c r="W36" s="367">
        <f xml:space="preserve"> InpS!W$66</f>
        <v>0</v>
      </c>
    </row>
    <row r="37" spans="1:77" s="59" customFormat="1">
      <c r="A37" s="84"/>
      <c r="B37" s="84"/>
      <c r="C37" s="85"/>
      <c r="D37" s="356" t="s">
        <v>36</v>
      </c>
      <c r="E37" s="89" t="str">
        <f xml:space="preserve"> E$44</f>
        <v>MAT Term loan repayment POS</v>
      </c>
      <c r="F37" s="89">
        <f t="shared" ref="F37:W37" si="9" xml:space="preserve"> F$44</f>
        <v>0</v>
      </c>
      <c r="G37" s="89" t="str">
        <f t="shared" si="9"/>
        <v>Kes '000'</v>
      </c>
      <c r="H37" s="89">
        <f t="shared" si="9"/>
        <v>1200000</v>
      </c>
      <c r="I37" s="89">
        <f t="shared" si="9"/>
        <v>0</v>
      </c>
      <c r="J37" s="89">
        <f t="shared" si="9"/>
        <v>0</v>
      </c>
      <c r="K37" s="89">
        <f t="shared" si="9"/>
        <v>0</v>
      </c>
      <c r="L37" s="89">
        <f t="shared" si="9"/>
        <v>0</v>
      </c>
      <c r="M37" s="89">
        <f t="shared" si="9"/>
        <v>0</v>
      </c>
      <c r="N37" s="89">
        <f t="shared" si="9"/>
        <v>0</v>
      </c>
      <c r="O37" s="89">
        <f t="shared" si="9"/>
        <v>0</v>
      </c>
      <c r="P37" s="89">
        <f t="shared" si="9"/>
        <v>0</v>
      </c>
      <c r="Q37" s="89">
        <f t="shared" si="9"/>
        <v>0</v>
      </c>
      <c r="R37" s="89">
        <f t="shared" si="9"/>
        <v>0</v>
      </c>
      <c r="S37" s="89">
        <f t="shared" si="9"/>
        <v>0</v>
      </c>
      <c r="T37" s="89">
        <f t="shared" si="9"/>
        <v>600000</v>
      </c>
      <c r="U37" s="89">
        <f t="shared" si="9"/>
        <v>600000</v>
      </c>
      <c r="V37" s="89">
        <f t="shared" si="9"/>
        <v>0</v>
      </c>
      <c r="W37" s="89">
        <f t="shared" si="9"/>
        <v>0</v>
      </c>
    </row>
    <row r="38" spans="1:77" s="361" customFormat="1">
      <c r="A38" s="376"/>
      <c r="B38" s="376"/>
      <c r="C38" s="377"/>
      <c r="D38" s="378"/>
      <c r="E38" s="361" t="s">
        <v>314</v>
      </c>
      <c r="J38" s="361">
        <f xml:space="preserve"> IF(J33 = 1, $F32, J35 + J36 - J37)</f>
        <v>0</v>
      </c>
      <c r="K38" s="361">
        <f t="shared" ref="K38:BV38" si="10" xml:space="preserve"> IF(K33 = 1, $F32, K35 + K36 - K37)</f>
        <v>0</v>
      </c>
      <c r="L38" s="361">
        <f t="shared" si="10"/>
        <v>0</v>
      </c>
      <c r="M38" s="361">
        <f t="shared" si="10"/>
        <v>0</v>
      </c>
      <c r="N38" s="361">
        <f t="shared" si="10"/>
        <v>0</v>
      </c>
      <c r="O38" s="361">
        <f t="shared" si="10"/>
        <v>0</v>
      </c>
      <c r="P38" s="361">
        <f t="shared" si="10"/>
        <v>1000000</v>
      </c>
      <c r="Q38" s="361">
        <f t="shared" si="10"/>
        <v>1500000</v>
      </c>
      <c r="R38" s="361">
        <f t="shared" si="10"/>
        <v>2000000</v>
      </c>
      <c r="S38" s="361">
        <f t="shared" si="10"/>
        <v>3000000</v>
      </c>
      <c r="T38" s="361">
        <f t="shared" si="10"/>
        <v>2400000</v>
      </c>
      <c r="U38" s="361">
        <f t="shared" si="10"/>
        <v>1800000</v>
      </c>
      <c r="V38" s="361">
        <f t="shared" si="10"/>
        <v>1800000</v>
      </c>
      <c r="W38" s="361">
        <f t="shared" si="10"/>
        <v>1800000</v>
      </c>
      <c r="X38" s="361">
        <f t="shared" si="10"/>
        <v>1800000</v>
      </c>
      <c r="Y38" s="361">
        <f t="shared" si="10"/>
        <v>1800000</v>
      </c>
      <c r="Z38" s="361">
        <f t="shared" si="10"/>
        <v>1800000</v>
      </c>
      <c r="AA38" s="361">
        <f t="shared" si="10"/>
        <v>1800000</v>
      </c>
      <c r="AB38" s="361">
        <f t="shared" si="10"/>
        <v>1800000</v>
      </c>
      <c r="AC38" s="361">
        <f t="shared" si="10"/>
        <v>1800000</v>
      </c>
      <c r="AD38" s="361">
        <f t="shared" si="10"/>
        <v>1800000</v>
      </c>
      <c r="AE38" s="361">
        <f t="shared" si="10"/>
        <v>1800000</v>
      </c>
      <c r="AF38" s="361">
        <f t="shared" si="10"/>
        <v>1800000</v>
      </c>
      <c r="AG38" s="361">
        <f t="shared" si="10"/>
        <v>1800000</v>
      </c>
      <c r="AH38" s="361">
        <f t="shared" si="10"/>
        <v>1800000</v>
      </c>
      <c r="AI38" s="361">
        <f t="shared" si="10"/>
        <v>1800000</v>
      </c>
      <c r="AJ38" s="361">
        <f t="shared" si="10"/>
        <v>1800000</v>
      </c>
      <c r="AK38" s="361">
        <f t="shared" si="10"/>
        <v>1800000</v>
      </c>
      <c r="AL38" s="361">
        <f t="shared" si="10"/>
        <v>1800000</v>
      </c>
      <c r="AM38" s="361">
        <f t="shared" si="10"/>
        <v>1800000</v>
      </c>
      <c r="AN38" s="361">
        <f t="shared" si="10"/>
        <v>1800000</v>
      </c>
      <c r="AO38" s="361">
        <f t="shared" si="10"/>
        <v>1800000</v>
      </c>
      <c r="AP38" s="361">
        <f t="shared" si="10"/>
        <v>1800000</v>
      </c>
      <c r="AQ38" s="361">
        <f t="shared" si="10"/>
        <v>1800000</v>
      </c>
      <c r="AR38" s="361">
        <f t="shared" si="10"/>
        <v>1800000</v>
      </c>
      <c r="AS38" s="361">
        <f t="shared" si="10"/>
        <v>1800000</v>
      </c>
      <c r="AT38" s="361">
        <f t="shared" si="10"/>
        <v>1800000</v>
      </c>
      <c r="AU38" s="361">
        <f t="shared" si="10"/>
        <v>1800000</v>
      </c>
      <c r="AV38" s="361">
        <f t="shared" si="10"/>
        <v>1800000</v>
      </c>
      <c r="AW38" s="361">
        <f t="shared" si="10"/>
        <v>1800000</v>
      </c>
      <c r="AX38" s="361">
        <f t="shared" si="10"/>
        <v>1800000</v>
      </c>
      <c r="AY38" s="361">
        <f t="shared" si="10"/>
        <v>1800000</v>
      </c>
      <c r="AZ38" s="361">
        <f t="shared" si="10"/>
        <v>1800000</v>
      </c>
      <c r="BA38" s="361">
        <f t="shared" si="10"/>
        <v>1800000</v>
      </c>
      <c r="BB38" s="361">
        <f t="shared" si="10"/>
        <v>1800000</v>
      </c>
      <c r="BC38" s="361">
        <f t="shared" si="10"/>
        <v>1800000</v>
      </c>
      <c r="BD38" s="361">
        <f t="shared" si="10"/>
        <v>1800000</v>
      </c>
      <c r="BE38" s="361">
        <f t="shared" si="10"/>
        <v>1800000</v>
      </c>
      <c r="BF38" s="361">
        <f t="shared" si="10"/>
        <v>1800000</v>
      </c>
      <c r="BG38" s="361">
        <f t="shared" si="10"/>
        <v>1800000</v>
      </c>
      <c r="BH38" s="361">
        <f t="shared" si="10"/>
        <v>1800000</v>
      </c>
      <c r="BI38" s="361">
        <f t="shared" si="10"/>
        <v>1800000</v>
      </c>
      <c r="BJ38" s="361">
        <f t="shared" si="10"/>
        <v>1800000</v>
      </c>
      <c r="BK38" s="361">
        <f t="shared" si="10"/>
        <v>1800000</v>
      </c>
      <c r="BL38" s="361">
        <f t="shared" si="10"/>
        <v>1800000</v>
      </c>
      <c r="BM38" s="361">
        <f t="shared" si="10"/>
        <v>1800000</v>
      </c>
      <c r="BN38" s="361">
        <f t="shared" si="10"/>
        <v>1800000</v>
      </c>
      <c r="BO38" s="361">
        <f t="shared" si="10"/>
        <v>1800000</v>
      </c>
      <c r="BP38" s="361">
        <f t="shared" si="10"/>
        <v>1800000</v>
      </c>
      <c r="BQ38" s="361">
        <f t="shared" si="10"/>
        <v>1800000</v>
      </c>
      <c r="BR38" s="361">
        <f t="shared" si="10"/>
        <v>1800000</v>
      </c>
      <c r="BS38" s="361">
        <f t="shared" si="10"/>
        <v>1800000</v>
      </c>
      <c r="BT38" s="361">
        <f t="shared" si="10"/>
        <v>1800000</v>
      </c>
      <c r="BU38" s="361">
        <f t="shared" si="10"/>
        <v>1800000</v>
      </c>
      <c r="BV38" s="361">
        <f t="shared" si="10"/>
        <v>1800000</v>
      </c>
      <c r="BW38" s="361">
        <f xml:space="preserve"> IF(BW33 = 1, $F32, BW35 + BW36 - BW37)</f>
        <v>1800000</v>
      </c>
      <c r="BX38" s="361">
        <f xml:space="preserve"> IF(BX33 = 1, $F32, BX35 + BX36 - BX37)</f>
        <v>1800000</v>
      </c>
      <c r="BY38" s="361">
        <f xml:space="preserve"> IF(BY33 = 1, $F32, BY35 + BY36 - BY37)</f>
        <v>1800000</v>
      </c>
    </row>
    <row r="40" spans="1:77">
      <c r="C40" s="16" t="s">
        <v>318</v>
      </c>
    </row>
    <row r="41" spans="1:77">
      <c r="E41" s="282"/>
    </row>
    <row r="42" spans="1:77">
      <c r="E42" s="282" t="str">
        <f xml:space="preserve"> InpC!E$44</f>
        <v>MAT Term Loan Balance at Start of repayment date</v>
      </c>
      <c r="F42" s="282">
        <f xml:space="preserve"> InpC!F$44</f>
        <v>3000000</v>
      </c>
      <c r="G42" s="282" t="str">
        <f xml:space="preserve"> InpC!G$44</f>
        <v>Kes '000'</v>
      </c>
      <c r="H42" s="282">
        <f xml:space="preserve"> InpC!H$44</f>
        <v>0</v>
      </c>
      <c r="I42" s="282">
        <f xml:space="preserve"> InpC!I$44</f>
        <v>0</v>
      </c>
      <c r="J42" s="282">
        <f xml:space="preserve"> InpC!J$44</f>
        <v>0</v>
      </c>
      <c r="K42" s="282">
        <f xml:space="preserve"> InpC!K$44</f>
        <v>0</v>
      </c>
      <c r="L42" s="282">
        <f xml:space="preserve"> InpC!L$44</f>
        <v>0</v>
      </c>
      <c r="M42" s="282">
        <f xml:space="preserve"> InpC!M$44</f>
        <v>0</v>
      </c>
      <c r="N42" s="282">
        <f xml:space="preserve"> InpC!N$44</f>
        <v>0</v>
      </c>
      <c r="O42" s="282">
        <f xml:space="preserve"> InpC!O$44</f>
        <v>0</v>
      </c>
      <c r="P42" s="282">
        <f xml:space="preserve"> InpC!P$44</f>
        <v>0</v>
      </c>
      <c r="Q42" s="282">
        <f xml:space="preserve"> InpC!Q$44</f>
        <v>0</v>
      </c>
      <c r="R42" s="282">
        <f xml:space="preserve"> InpC!R$44</f>
        <v>0</v>
      </c>
      <c r="S42" s="282">
        <f xml:space="preserve"> InpC!S$44</f>
        <v>0</v>
      </c>
      <c r="T42" s="282">
        <f xml:space="preserve"> InpC!T$44</f>
        <v>0</v>
      </c>
      <c r="U42" s="282">
        <f xml:space="preserve"> InpC!U$44</f>
        <v>0</v>
      </c>
      <c r="V42" s="282">
        <f xml:space="preserve"> InpC!V$44</f>
        <v>0</v>
      </c>
      <c r="W42" s="282">
        <f xml:space="preserve"> InpC!W$44</f>
        <v>0</v>
      </c>
    </row>
    <row r="43" spans="1:77">
      <c r="E43" s="357" t="str">
        <f xml:space="preserve"> InpS!E$67</f>
        <v>MAT Term loan repayment</v>
      </c>
      <c r="F43" s="357">
        <f xml:space="preserve"> InpS!F$67</f>
        <v>0</v>
      </c>
      <c r="G43" s="357" t="str">
        <f xml:space="preserve"> InpS!G$67</f>
        <v>%</v>
      </c>
      <c r="H43" s="357">
        <f xml:space="preserve"> InpS!H$67</f>
        <v>0.4</v>
      </c>
      <c r="I43" s="357">
        <f xml:space="preserve"> InpS!I$67</f>
        <v>0</v>
      </c>
      <c r="J43" s="357">
        <f xml:space="preserve"> InpS!J$67</f>
        <v>0</v>
      </c>
      <c r="K43" s="357">
        <f xml:space="preserve"> InpS!K$67</f>
        <v>0</v>
      </c>
      <c r="L43" s="357">
        <f xml:space="preserve"> InpS!L$67</f>
        <v>0</v>
      </c>
      <c r="M43" s="357">
        <f xml:space="preserve"> InpS!M$67</f>
        <v>0</v>
      </c>
      <c r="N43" s="357">
        <f xml:space="preserve"> InpS!N$67</f>
        <v>0</v>
      </c>
      <c r="O43" s="357">
        <f xml:space="preserve"> InpS!O$67</f>
        <v>0</v>
      </c>
      <c r="P43" s="357">
        <f xml:space="preserve"> InpS!P$67</f>
        <v>0</v>
      </c>
      <c r="Q43" s="357">
        <f xml:space="preserve"> InpS!Q$67</f>
        <v>0</v>
      </c>
      <c r="R43" s="357">
        <f xml:space="preserve"> InpS!R$67</f>
        <v>0</v>
      </c>
      <c r="S43" s="357">
        <f xml:space="preserve"> InpS!S$67</f>
        <v>0</v>
      </c>
      <c r="T43" s="357">
        <f xml:space="preserve"> InpS!T$67</f>
        <v>0.2</v>
      </c>
      <c r="U43" s="357">
        <f xml:space="preserve"> InpS!U$67</f>
        <v>0.2</v>
      </c>
      <c r="V43" s="357">
        <f xml:space="preserve"> InpS!V$67</f>
        <v>0</v>
      </c>
      <c r="W43" s="357">
        <f xml:space="preserve"> InpS!W$67</f>
        <v>0</v>
      </c>
    </row>
    <row r="44" spans="1:77">
      <c r="E44" s="58" t="s">
        <v>323</v>
      </c>
      <c r="G44" s="58" t="str">
        <f>smu</f>
        <v>Kes '000'</v>
      </c>
      <c r="H44" s="58">
        <f xml:space="preserve"> SUM(J44:W44)</f>
        <v>1200000</v>
      </c>
      <c r="J44" s="58">
        <f>J43*$F$42</f>
        <v>0</v>
      </c>
      <c r="K44" s="58">
        <f t="shared" ref="K44:W44" si="11">K43*$F$42</f>
        <v>0</v>
      </c>
      <c r="L44" s="58">
        <f t="shared" si="11"/>
        <v>0</v>
      </c>
      <c r="M44" s="58">
        <f t="shared" si="11"/>
        <v>0</v>
      </c>
      <c r="N44" s="58">
        <f t="shared" si="11"/>
        <v>0</v>
      </c>
      <c r="O44" s="58">
        <f t="shared" si="11"/>
        <v>0</v>
      </c>
      <c r="P44" s="58">
        <f t="shared" si="11"/>
        <v>0</v>
      </c>
      <c r="Q44" s="58">
        <f t="shared" si="11"/>
        <v>0</v>
      </c>
      <c r="R44" s="58">
        <f t="shared" si="11"/>
        <v>0</v>
      </c>
      <c r="S44" s="58">
        <f t="shared" si="11"/>
        <v>0</v>
      </c>
      <c r="T44" s="58">
        <f t="shared" si="11"/>
        <v>600000</v>
      </c>
      <c r="U44" s="58">
        <f t="shared" si="11"/>
        <v>600000</v>
      </c>
      <c r="V44" s="58">
        <f t="shared" si="11"/>
        <v>0</v>
      </c>
      <c r="W44" s="58">
        <f t="shared" si="11"/>
        <v>0</v>
      </c>
    </row>
    <row r="45" spans="1:77">
      <c r="E45" s="141" t="str">
        <f xml:space="preserve"> LEFT(E44, LEN(E44) - 4)</f>
        <v>MAT Term loan repayment</v>
      </c>
      <c r="F45" s="141"/>
      <c r="G45" s="141" t="str">
        <f xml:space="preserve"> G44</f>
        <v>Kes '000'</v>
      </c>
      <c r="H45" s="141">
        <f>SUM(J45:CA45)</f>
        <v>-1200000</v>
      </c>
      <c r="I45" s="141"/>
      <c r="J45" s="141">
        <f t="shared" ref="J45:W45" si="12" xml:space="preserve"> -1 * J44</f>
        <v>0</v>
      </c>
      <c r="K45" s="141">
        <f t="shared" si="12"/>
        <v>0</v>
      </c>
      <c r="L45" s="141">
        <f t="shared" si="12"/>
        <v>0</v>
      </c>
      <c r="M45" s="141">
        <f t="shared" si="12"/>
        <v>0</v>
      </c>
      <c r="N45" s="141">
        <f t="shared" si="12"/>
        <v>0</v>
      </c>
      <c r="O45" s="141">
        <f t="shared" si="12"/>
        <v>0</v>
      </c>
      <c r="P45" s="141">
        <f t="shared" si="12"/>
        <v>0</v>
      </c>
      <c r="Q45" s="141">
        <f t="shared" si="12"/>
        <v>0</v>
      </c>
      <c r="R45" s="141">
        <f t="shared" si="12"/>
        <v>0</v>
      </c>
      <c r="S45" s="141">
        <f t="shared" si="12"/>
        <v>0</v>
      </c>
      <c r="T45" s="141">
        <f t="shared" si="12"/>
        <v>-600000</v>
      </c>
      <c r="U45" s="141">
        <f t="shared" si="12"/>
        <v>-600000</v>
      </c>
      <c r="V45" s="141">
        <f t="shared" si="12"/>
        <v>0</v>
      </c>
      <c r="W45" s="141">
        <f t="shared" si="12"/>
        <v>0</v>
      </c>
    </row>
    <row r="46" spans="1:77">
      <c r="E46" s="141"/>
      <c r="F46" s="141"/>
      <c r="G46" s="141"/>
      <c r="H46" s="141"/>
      <c r="I46" s="141"/>
      <c r="J46" s="141"/>
      <c r="K46" s="141"/>
      <c r="L46" s="141"/>
      <c r="M46" s="141"/>
      <c r="N46" s="141"/>
      <c r="O46" s="141"/>
      <c r="P46" s="141"/>
      <c r="Q46" s="141"/>
      <c r="R46" s="141"/>
      <c r="S46" s="141"/>
      <c r="T46" s="141"/>
      <c r="U46" s="141"/>
      <c r="V46" s="141"/>
      <c r="W46" s="141"/>
    </row>
    <row r="48" spans="1:77">
      <c r="A48" s="10" t="s">
        <v>320</v>
      </c>
    </row>
    <row r="49" spans="1:23">
      <c r="E49" s="357" t="str">
        <f xml:space="preserve"> InpC!E$45</f>
        <v>MAT Term Loan interest rate</v>
      </c>
      <c r="F49" s="357">
        <f xml:space="preserve"> InpC!F$45</f>
        <v>0.15</v>
      </c>
      <c r="G49" s="357" t="str">
        <f xml:space="preserve"> InpC!G$45</f>
        <v>%</v>
      </c>
      <c r="H49" s="357">
        <f xml:space="preserve"> InpC!H$45</f>
        <v>0</v>
      </c>
      <c r="I49" s="357"/>
      <c r="J49" s="357"/>
      <c r="K49" s="357"/>
      <c r="L49" s="357"/>
      <c r="M49" s="357"/>
      <c r="N49" s="357"/>
      <c r="O49" s="357"/>
      <c r="P49" s="357"/>
      <c r="Q49" s="357"/>
      <c r="R49" s="357"/>
      <c r="S49" s="357"/>
      <c r="T49" s="357"/>
      <c r="U49" s="357"/>
      <c r="V49" s="357"/>
      <c r="W49" s="357"/>
    </row>
    <row r="50" spans="1:23">
      <c r="E50" s="27" t="str">
        <f xml:space="preserve"> E$35</f>
        <v>MAT Term Loan balance BEG</v>
      </c>
      <c r="F50" s="27">
        <f t="shared" ref="F50:W50" si="13" xml:space="preserve"> F$35</f>
        <v>0</v>
      </c>
      <c r="G50" s="27" t="str">
        <f t="shared" si="13"/>
        <v>Kes '000'</v>
      </c>
      <c r="H50" s="27">
        <f xml:space="preserve"> SUM(J50:W50)</f>
        <v>13500000</v>
      </c>
      <c r="I50" s="27">
        <f t="shared" si="13"/>
        <v>0</v>
      </c>
      <c r="J50" s="27">
        <f t="shared" si="13"/>
        <v>0</v>
      </c>
      <c r="K50" s="27">
        <f t="shared" si="13"/>
        <v>0</v>
      </c>
      <c r="L50" s="27">
        <f t="shared" si="13"/>
        <v>0</v>
      </c>
      <c r="M50" s="27">
        <f t="shared" si="13"/>
        <v>0</v>
      </c>
      <c r="N50" s="27">
        <f t="shared" si="13"/>
        <v>0</v>
      </c>
      <c r="O50" s="27">
        <f t="shared" si="13"/>
        <v>0</v>
      </c>
      <c r="P50" s="27">
        <f t="shared" si="13"/>
        <v>0</v>
      </c>
      <c r="Q50" s="27">
        <f t="shared" si="13"/>
        <v>1000000</v>
      </c>
      <c r="R50" s="27">
        <f t="shared" si="13"/>
        <v>1500000</v>
      </c>
      <c r="S50" s="27">
        <f t="shared" si="13"/>
        <v>2000000</v>
      </c>
      <c r="T50" s="27">
        <f t="shared" si="13"/>
        <v>3000000</v>
      </c>
      <c r="U50" s="27">
        <f t="shared" si="13"/>
        <v>2400000</v>
      </c>
      <c r="V50" s="27">
        <f t="shared" si="13"/>
        <v>1800000</v>
      </c>
      <c r="W50" s="27">
        <f t="shared" si="13"/>
        <v>1800000</v>
      </c>
    </row>
    <row r="51" spans="1:23">
      <c r="E51" s="58" t="s">
        <v>322</v>
      </c>
      <c r="G51" s="58" t="str">
        <f>smu</f>
        <v>Kes '000'</v>
      </c>
      <c r="H51" s="58">
        <f xml:space="preserve"> SUM(J51:W51)</f>
        <v>2025000</v>
      </c>
      <c r="J51" s="58">
        <f>J50*$F$49</f>
        <v>0</v>
      </c>
      <c r="K51" s="58">
        <f t="shared" ref="K51:W51" si="14">K50*$F$49</f>
        <v>0</v>
      </c>
      <c r="L51" s="58">
        <f t="shared" si="14"/>
        <v>0</v>
      </c>
      <c r="M51" s="58">
        <f t="shared" si="14"/>
        <v>0</v>
      </c>
      <c r="N51" s="58">
        <f t="shared" si="14"/>
        <v>0</v>
      </c>
      <c r="O51" s="58">
        <f t="shared" si="14"/>
        <v>0</v>
      </c>
      <c r="P51" s="58">
        <f t="shared" si="14"/>
        <v>0</v>
      </c>
      <c r="Q51" s="58">
        <f t="shared" si="14"/>
        <v>150000</v>
      </c>
      <c r="R51" s="58">
        <f t="shared" si="14"/>
        <v>225000</v>
      </c>
      <c r="S51" s="58">
        <f t="shared" si="14"/>
        <v>300000</v>
      </c>
      <c r="T51" s="58">
        <f t="shared" si="14"/>
        <v>450000</v>
      </c>
      <c r="U51" s="58">
        <f t="shared" si="14"/>
        <v>360000</v>
      </c>
      <c r="V51" s="58">
        <f t="shared" si="14"/>
        <v>270000</v>
      </c>
      <c r="W51" s="58">
        <f t="shared" si="14"/>
        <v>270000</v>
      </c>
    </row>
    <row r="52" spans="1:23">
      <c r="E52" s="141" t="str">
        <f xml:space="preserve"> LEFT(E51, LEN(E51) - 4)</f>
        <v>MAT Term Loan Interest</v>
      </c>
      <c r="F52" s="141"/>
      <c r="G52" s="141" t="str">
        <f xml:space="preserve"> G51</f>
        <v>Kes '000'</v>
      </c>
      <c r="H52" s="141">
        <f>SUM(J52:CA52)</f>
        <v>-2025000</v>
      </c>
      <c r="I52" s="141"/>
      <c r="J52" s="141">
        <f t="shared" ref="J52:W52" si="15" xml:space="preserve"> -1 * J51</f>
        <v>0</v>
      </c>
      <c r="K52" s="141">
        <f t="shared" si="15"/>
        <v>0</v>
      </c>
      <c r="L52" s="141">
        <f t="shared" si="15"/>
        <v>0</v>
      </c>
      <c r="M52" s="141">
        <f t="shared" si="15"/>
        <v>0</v>
      </c>
      <c r="N52" s="141">
        <f t="shared" si="15"/>
        <v>0</v>
      </c>
      <c r="O52" s="141">
        <f t="shared" si="15"/>
        <v>0</v>
      </c>
      <c r="P52" s="141">
        <f t="shared" si="15"/>
        <v>0</v>
      </c>
      <c r="Q52" s="141">
        <f t="shared" si="15"/>
        <v>-150000</v>
      </c>
      <c r="R52" s="141">
        <f t="shared" si="15"/>
        <v>-225000</v>
      </c>
      <c r="S52" s="141">
        <f t="shared" si="15"/>
        <v>-300000</v>
      </c>
      <c r="T52" s="141">
        <f t="shared" si="15"/>
        <v>-450000</v>
      </c>
      <c r="U52" s="141">
        <f t="shared" si="15"/>
        <v>-360000</v>
      </c>
      <c r="V52" s="141">
        <f t="shared" si="15"/>
        <v>-270000</v>
      </c>
      <c r="W52" s="141">
        <f t="shared" si="15"/>
        <v>-270000</v>
      </c>
    </row>
    <row r="53" spans="1:23">
      <c r="E53" s="141"/>
      <c r="F53" s="141"/>
      <c r="G53" s="141"/>
      <c r="H53" s="141"/>
      <c r="I53" s="141"/>
      <c r="J53" s="141"/>
      <c r="K53" s="141"/>
      <c r="L53" s="141"/>
      <c r="M53" s="141"/>
      <c r="N53" s="141"/>
      <c r="O53" s="141"/>
      <c r="P53" s="141"/>
      <c r="Q53" s="141"/>
      <c r="R53" s="141"/>
      <c r="S53" s="141"/>
      <c r="T53" s="141"/>
      <c r="U53" s="141"/>
      <c r="V53" s="141"/>
      <c r="W53" s="141"/>
    </row>
    <row r="55" spans="1:23">
      <c r="A55" s="10" t="s">
        <v>324</v>
      </c>
    </row>
    <row r="57" spans="1:23">
      <c r="B57" s="4" t="s">
        <v>325</v>
      </c>
    </row>
    <row r="58" spans="1:23">
      <c r="E58" s="27" t="str">
        <f xml:space="preserve"> E$15</f>
        <v>MAT Loan balance</v>
      </c>
      <c r="F58" s="27">
        <f t="shared" ref="F58:W58" si="16" xml:space="preserve"> F$15</f>
        <v>0</v>
      </c>
      <c r="G58" s="27" t="str">
        <f t="shared" si="16"/>
        <v>Kes '000'</v>
      </c>
      <c r="H58" s="27">
        <f t="shared" si="16"/>
        <v>0</v>
      </c>
      <c r="I58" s="27"/>
      <c r="J58" s="27">
        <f t="shared" si="16"/>
        <v>0</v>
      </c>
      <c r="K58" s="27">
        <f t="shared" si="16"/>
        <v>0</v>
      </c>
      <c r="L58" s="27">
        <f t="shared" si="16"/>
        <v>0</v>
      </c>
      <c r="M58" s="27">
        <f t="shared" si="16"/>
        <v>0</v>
      </c>
      <c r="N58" s="27">
        <f t="shared" si="16"/>
        <v>0</v>
      </c>
      <c r="O58" s="27">
        <f t="shared" si="16"/>
        <v>1035600</v>
      </c>
      <c r="P58" s="27">
        <f t="shared" si="16"/>
        <v>517800</v>
      </c>
      <c r="Q58" s="27">
        <f t="shared" si="16"/>
        <v>0</v>
      </c>
      <c r="R58" s="27">
        <f t="shared" si="16"/>
        <v>0</v>
      </c>
      <c r="S58" s="27">
        <f t="shared" si="16"/>
        <v>0</v>
      </c>
      <c r="T58" s="27">
        <f t="shared" si="16"/>
        <v>0</v>
      </c>
      <c r="U58" s="27">
        <f t="shared" si="16"/>
        <v>0</v>
      </c>
      <c r="V58" s="27">
        <f t="shared" si="16"/>
        <v>0</v>
      </c>
      <c r="W58" s="27">
        <f t="shared" si="16"/>
        <v>0</v>
      </c>
    </row>
    <row r="59" spans="1:23">
      <c r="E59" s="27" t="str">
        <f xml:space="preserve"> E$38</f>
        <v>MAT Term Loan balance</v>
      </c>
      <c r="F59" s="27">
        <f t="shared" ref="F59:W59" si="17" xml:space="preserve"> F$38</f>
        <v>0</v>
      </c>
      <c r="G59" s="27">
        <f t="shared" si="17"/>
        <v>0</v>
      </c>
      <c r="H59" s="27">
        <f t="shared" si="17"/>
        <v>0</v>
      </c>
      <c r="I59" s="27"/>
      <c r="J59" s="27">
        <f t="shared" si="17"/>
        <v>0</v>
      </c>
      <c r="K59" s="27">
        <f t="shared" si="17"/>
        <v>0</v>
      </c>
      <c r="L59" s="27">
        <f t="shared" si="17"/>
        <v>0</v>
      </c>
      <c r="M59" s="27">
        <f t="shared" si="17"/>
        <v>0</v>
      </c>
      <c r="N59" s="27">
        <f t="shared" si="17"/>
        <v>0</v>
      </c>
      <c r="O59" s="27">
        <f t="shared" si="17"/>
        <v>0</v>
      </c>
      <c r="P59" s="27">
        <f t="shared" si="17"/>
        <v>1000000</v>
      </c>
      <c r="Q59" s="27">
        <f t="shared" si="17"/>
        <v>1500000</v>
      </c>
      <c r="R59" s="27">
        <f t="shared" si="17"/>
        <v>2000000</v>
      </c>
      <c r="S59" s="27">
        <f t="shared" si="17"/>
        <v>3000000</v>
      </c>
      <c r="T59" s="27">
        <f t="shared" si="17"/>
        <v>2400000</v>
      </c>
      <c r="U59" s="27">
        <f t="shared" si="17"/>
        <v>1800000</v>
      </c>
      <c r="V59" s="27">
        <f t="shared" si="17"/>
        <v>1800000</v>
      </c>
      <c r="W59" s="27">
        <f t="shared" si="17"/>
        <v>1800000</v>
      </c>
    </row>
    <row r="60" spans="1:23">
      <c r="E60" s="58" t="s">
        <v>326</v>
      </c>
      <c r="G60" s="58" t="str">
        <f>smu</f>
        <v>Kes '000'</v>
      </c>
      <c r="J60" s="58">
        <f>SUM(J58:J59)</f>
        <v>0</v>
      </c>
      <c r="K60" s="58">
        <f t="shared" ref="K60:W60" si="18">SUM(K58:K59)</f>
        <v>0</v>
      </c>
      <c r="L60" s="58">
        <f t="shared" si="18"/>
        <v>0</v>
      </c>
      <c r="M60" s="58">
        <f t="shared" si="18"/>
        <v>0</v>
      </c>
      <c r="N60" s="58">
        <f t="shared" si="18"/>
        <v>0</v>
      </c>
      <c r="O60" s="58">
        <f t="shared" si="18"/>
        <v>1035600</v>
      </c>
      <c r="P60" s="58">
        <f t="shared" si="18"/>
        <v>1517800</v>
      </c>
      <c r="Q60" s="58">
        <f t="shared" si="18"/>
        <v>1500000</v>
      </c>
      <c r="R60" s="58">
        <f t="shared" si="18"/>
        <v>2000000</v>
      </c>
      <c r="S60" s="58">
        <f t="shared" si="18"/>
        <v>3000000</v>
      </c>
      <c r="T60" s="58">
        <f t="shared" si="18"/>
        <v>2400000</v>
      </c>
      <c r="U60" s="58">
        <f t="shared" si="18"/>
        <v>1800000</v>
      </c>
      <c r="V60" s="58">
        <f t="shared" si="18"/>
        <v>1800000</v>
      </c>
      <c r="W60" s="58">
        <f t="shared" si="18"/>
        <v>1800000</v>
      </c>
    </row>
    <row r="61" spans="1:23">
      <c r="E61" s="282" t="str">
        <f xml:space="preserve"> Time!E$43</f>
        <v>Forecast period flag</v>
      </c>
      <c r="F61" s="282">
        <f xml:space="preserve"> Time!F$43</f>
        <v>0</v>
      </c>
      <c r="G61" s="282" t="str">
        <f xml:space="preserve"> Time!G$43</f>
        <v>flag</v>
      </c>
      <c r="H61" s="282">
        <f xml:space="preserve"> Time!H$43</f>
        <v>6</v>
      </c>
      <c r="I61" s="282">
        <f xml:space="preserve"> Time!I$43</f>
        <v>0</v>
      </c>
      <c r="J61" s="282">
        <f xml:space="preserve"> Time!J$43</f>
        <v>0</v>
      </c>
      <c r="K61" s="282">
        <f xml:space="preserve"> Time!K$43</f>
        <v>0</v>
      </c>
      <c r="L61" s="282">
        <f xml:space="preserve"> Time!L$43</f>
        <v>0</v>
      </c>
      <c r="M61" s="282">
        <f xml:space="preserve"> Time!M$43</f>
        <v>0</v>
      </c>
      <c r="N61" s="282">
        <f xml:space="preserve"> Time!N$43</f>
        <v>0</v>
      </c>
      <c r="O61" s="282">
        <f xml:space="preserve"> Time!O$43</f>
        <v>0</v>
      </c>
      <c r="P61" s="282">
        <f xml:space="preserve"> Time!P$43</f>
        <v>1</v>
      </c>
      <c r="Q61" s="282">
        <f xml:space="preserve"> Time!Q$43</f>
        <v>1</v>
      </c>
      <c r="R61" s="282">
        <f xml:space="preserve"> Time!R$43</f>
        <v>1</v>
      </c>
      <c r="S61" s="282">
        <f xml:space="preserve"> Time!S$43</f>
        <v>1</v>
      </c>
      <c r="T61" s="282">
        <f xml:space="preserve"> Time!T$43</f>
        <v>1</v>
      </c>
      <c r="U61" s="282">
        <f xml:space="preserve"> Time!U$43</f>
        <v>1</v>
      </c>
      <c r="V61" s="282">
        <f xml:space="preserve"> Time!V$43</f>
        <v>0</v>
      </c>
      <c r="W61" s="282">
        <f xml:space="preserve"> Time!W$43</f>
        <v>0</v>
      </c>
    </row>
    <row r="62" spans="1:23" s="191" customFormat="1">
      <c r="A62" s="188"/>
      <c r="B62" s="189"/>
      <c r="C62" s="291"/>
      <c r="D62" s="190"/>
      <c r="E62" s="191" t="str">
        <f>"Forecast"&amp;" "&amp;E60</f>
        <v>Forecast Total Loan Balance</v>
      </c>
      <c r="F62" s="191" t="s">
        <v>251</v>
      </c>
      <c r="G62" s="191" t="str">
        <f>smu</f>
        <v>Kes '000'</v>
      </c>
      <c r="H62" s="191">
        <f xml:space="preserve"> SUM(J62:W62)</f>
        <v>12217800</v>
      </c>
      <c r="J62" s="191">
        <f>J60*J61</f>
        <v>0</v>
      </c>
      <c r="K62" s="191">
        <f t="shared" ref="K62:W62" si="19">K60*K61</f>
        <v>0</v>
      </c>
      <c r="L62" s="191">
        <f t="shared" si="19"/>
        <v>0</v>
      </c>
      <c r="M62" s="191">
        <f t="shared" si="19"/>
        <v>0</v>
      </c>
      <c r="N62" s="191">
        <f t="shared" si="19"/>
        <v>0</v>
      </c>
      <c r="O62" s="191">
        <f t="shared" si="19"/>
        <v>0</v>
      </c>
      <c r="P62" s="191">
        <f t="shared" si="19"/>
        <v>1517800</v>
      </c>
      <c r="Q62" s="191">
        <f t="shared" si="19"/>
        <v>1500000</v>
      </c>
      <c r="R62" s="191">
        <f t="shared" si="19"/>
        <v>2000000</v>
      </c>
      <c r="S62" s="191">
        <f t="shared" si="19"/>
        <v>3000000</v>
      </c>
      <c r="T62" s="191">
        <f t="shared" si="19"/>
        <v>2400000</v>
      </c>
      <c r="U62" s="191">
        <f t="shared" si="19"/>
        <v>1800000</v>
      </c>
      <c r="V62" s="191">
        <f t="shared" si="19"/>
        <v>0</v>
      </c>
      <c r="W62" s="191">
        <f t="shared" si="19"/>
        <v>0</v>
      </c>
    </row>
    <row r="64" spans="1:23">
      <c r="B64" s="4" t="s">
        <v>327</v>
      </c>
    </row>
    <row r="65" spans="1:23">
      <c r="E65" s="27" t="str">
        <f xml:space="preserve"> E$22</f>
        <v>MAT Loan repay</v>
      </c>
      <c r="F65" s="27">
        <f t="shared" ref="F65:W65" si="20" xml:space="preserve"> F$22</f>
        <v>0</v>
      </c>
      <c r="G65" s="27" t="str">
        <f t="shared" si="20"/>
        <v>Kes '000'</v>
      </c>
      <c r="H65" s="27">
        <f t="shared" si="20"/>
        <v>-1035600</v>
      </c>
      <c r="I65" s="27">
        <f t="shared" si="20"/>
        <v>0</v>
      </c>
      <c r="J65" s="27">
        <f t="shared" si="20"/>
        <v>0</v>
      </c>
      <c r="K65" s="27">
        <f t="shared" si="20"/>
        <v>0</v>
      </c>
      <c r="L65" s="27">
        <f t="shared" si="20"/>
        <v>0</v>
      </c>
      <c r="M65" s="27">
        <f t="shared" si="20"/>
        <v>0</v>
      </c>
      <c r="N65" s="27">
        <f t="shared" si="20"/>
        <v>0</v>
      </c>
      <c r="O65" s="27">
        <f t="shared" si="20"/>
        <v>0</v>
      </c>
      <c r="P65" s="27">
        <f t="shared" si="20"/>
        <v>-517800</v>
      </c>
      <c r="Q65" s="27">
        <f t="shared" si="20"/>
        <v>-517800</v>
      </c>
      <c r="R65" s="27">
        <f t="shared" si="20"/>
        <v>0</v>
      </c>
      <c r="S65" s="27">
        <f t="shared" si="20"/>
        <v>0</v>
      </c>
      <c r="T65" s="27">
        <f t="shared" si="20"/>
        <v>0</v>
      </c>
      <c r="U65" s="27">
        <f t="shared" si="20"/>
        <v>0</v>
      </c>
      <c r="V65" s="27">
        <f t="shared" si="20"/>
        <v>0</v>
      </c>
      <c r="W65" s="27">
        <f t="shared" si="20"/>
        <v>0</v>
      </c>
    </row>
    <row r="66" spans="1:23">
      <c r="E66" s="27" t="str">
        <f xml:space="preserve"> E$45</f>
        <v>MAT Term loan repayment</v>
      </c>
      <c r="F66" s="27">
        <f t="shared" ref="F66:W66" si="21" xml:space="preserve"> F$45</f>
        <v>0</v>
      </c>
      <c r="G66" s="27" t="str">
        <f t="shared" si="21"/>
        <v>Kes '000'</v>
      </c>
      <c r="H66" s="27">
        <f t="shared" si="21"/>
        <v>-1200000</v>
      </c>
      <c r="I66" s="27">
        <f t="shared" si="21"/>
        <v>0</v>
      </c>
      <c r="J66" s="27">
        <f t="shared" si="21"/>
        <v>0</v>
      </c>
      <c r="K66" s="27">
        <f t="shared" si="21"/>
        <v>0</v>
      </c>
      <c r="L66" s="27">
        <f t="shared" si="21"/>
        <v>0</v>
      </c>
      <c r="M66" s="27">
        <f t="shared" si="21"/>
        <v>0</v>
      </c>
      <c r="N66" s="27">
        <f t="shared" si="21"/>
        <v>0</v>
      </c>
      <c r="O66" s="27">
        <f t="shared" si="21"/>
        <v>0</v>
      </c>
      <c r="P66" s="27">
        <f t="shared" si="21"/>
        <v>0</v>
      </c>
      <c r="Q66" s="27">
        <f t="shared" si="21"/>
        <v>0</v>
      </c>
      <c r="R66" s="27">
        <f t="shared" si="21"/>
        <v>0</v>
      </c>
      <c r="S66" s="27">
        <f t="shared" si="21"/>
        <v>0</v>
      </c>
      <c r="T66" s="27">
        <f t="shared" si="21"/>
        <v>-600000</v>
      </c>
      <c r="U66" s="27">
        <f t="shared" si="21"/>
        <v>-600000</v>
      </c>
      <c r="V66" s="27">
        <f t="shared" si="21"/>
        <v>0</v>
      </c>
      <c r="W66" s="27">
        <f t="shared" si="21"/>
        <v>0</v>
      </c>
    </row>
    <row r="67" spans="1:23">
      <c r="E67" s="282" t="str">
        <f xml:space="preserve"> InpS!E$66</f>
        <v>MAT Term loan drawdown</v>
      </c>
      <c r="F67" s="282">
        <f xml:space="preserve"> InpS!F$66</f>
        <v>0</v>
      </c>
      <c r="G67" s="282" t="str">
        <f xml:space="preserve"> InpS!G$66</f>
        <v>Kes '000'</v>
      </c>
      <c r="H67" s="282">
        <f xml:space="preserve"> InpS!H$66</f>
        <v>3000000</v>
      </c>
      <c r="I67" s="282">
        <f xml:space="preserve"> InpS!I$66</f>
        <v>0</v>
      </c>
      <c r="J67" s="282">
        <f xml:space="preserve"> InpS!J$66</f>
        <v>0</v>
      </c>
      <c r="K67" s="282">
        <f xml:space="preserve"> InpS!K$66</f>
        <v>0</v>
      </c>
      <c r="L67" s="282">
        <f xml:space="preserve"> InpS!L$66</f>
        <v>0</v>
      </c>
      <c r="M67" s="282">
        <f xml:space="preserve"> InpS!M$66</f>
        <v>0</v>
      </c>
      <c r="N67" s="282">
        <f xml:space="preserve"> InpS!N$66</f>
        <v>0</v>
      </c>
      <c r="O67" s="282">
        <f xml:space="preserve"> InpS!O$66</f>
        <v>0</v>
      </c>
      <c r="P67" s="282">
        <f xml:space="preserve"> InpS!P$66</f>
        <v>1000000</v>
      </c>
      <c r="Q67" s="282">
        <f xml:space="preserve"> InpS!Q$66</f>
        <v>500000</v>
      </c>
      <c r="R67" s="282">
        <f xml:space="preserve"> InpS!R$66</f>
        <v>500000</v>
      </c>
      <c r="S67" s="282">
        <f xml:space="preserve"> InpS!S$66</f>
        <v>1000000</v>
      </c>
      <c r="T67" s="282">
        <f xml:space="preserve"> InpS!T$66</f>
        <v>0</v>
      </c>
      <c r="U67" s="282">
        <f xml:space="preserve"> InpS!U$66</f>
        <v>0</v>
      </c>
      <c r="V67" s="282">
        <f xml:space="preserve"> InpS!V$66</f>
        <v>0</v>
      </c>
      <c r="W67" s="282">
        <f xml:space="preserve"> InpS!W$66</f>
        <v>0</v>
      </c>
    </row>
    <row r="68" spans="1:23" s="191" customFormat="1">
      <c r="A68" s="188"/>
      <c r="B68" s="189"/>
      <c r="C68" s="291"/>
      <c r="D68" s="190"/>
      <c r="E68" s="191" t="s">
        <v>385</v>
      </c>
      <c r="F68" s="191" t="s">
        <v>295</v>
      </c>
      <c r="G68" s="191" t="str">
        <f>smu</f>
        <v>Kes '000'</v>
      </c>
      <c r="H68" s="191">
        <f xml:space="preserve"> SUM(J68:W68)</f>
        <v>764400</v>
      </c>
      <c r="J68" s="191">
        <f>SUM(J65:J67)</f>
        <v>0</v>
      </c>
      <c r="K68" s="191">
        <f t="shared" ref="K68:W68" si="22">SUM(K65:K67)</f>
        <v>0</v>
      </c>
      <c r="L68" s="191">
        <f t="shared" si="22"/>
        <v>0</v>
      </c>
      <c r="M68" s="191">
        <f t="shared" si="22"/>
        <v>0</v>
      </c>
      <c r="N68" s="191">
        <f t="shared" si="22"/>
        <v>0</v>
      </c>
      <c r="O68" s="191">
        <f t="shared" si="22"/>
        <v>0</v>
      </c>
      <c r="P68" s="191">
        <f t="shared" si="22"/>
        <v>482200</v>
      </c>
      <c r="Q68" s="191">
        <f t="shared" si="22"/>
        <v>-17800</v>
      </c>
      <c r="R68" s="191">
        <f t="shared" si="22"/>
        <v>500000</v>
      </c>
      <c r="S68" s="191">
        <f t="shared" si="22"/>
        <v>1000000</v>
      </c>
      <c r="T68" s="191">
        <f t="shared" si="22"/>
        <v>-600000</v>
      </c>
      <c r="U68" s="191">
        <f t="shared" si="22"/>
        <v>-600000</v>
      </c>
      <c r="V68" s="191">
        <f t="shared" si="22"/>
        <v>0</v>
      </c>
      <c r="W68" s="191">
        <f t="shared" si="22"/>
        <v>0</v>
      </c>
    </row>
    <row r="70" spans="1:23">
      <c r="B70" s="4" t="s">
        <v>328</v>
      </c>
    </row>
    <row r="71" spans="1:23">
      <c r="E71" s="27" t="str">
        <f xml:space="preserve"> E$28</f>
        <v>MAT Loan Interest</v>
      </c>
      <c r="F71" s="27">
        <f t="shared" ref="F71:W71" si="23" xml:space="preserve"> F$28</f>
        <v>0</v>
      </c>
      <c r="G71" s="27" t="str">
        <f t="shared" si="23"/>
        <v>Kes '000'</v>
      </c>
      <c r="H71" s="27">
        <f t="shared" si="23"/>
        <v>-233010</v>
      </c>
      <c r="I71" s="27">
        <f t="shared" si="23"/>
        <v>0</v>
      </c>
      <c r="J71" s="27">
        <f t="shared" si="23"/>
        <v>0</v>
      </c>
      <c r="K71" s="27">
        <f t="shared" si="23"/>
        <v>0</v>
      </c>
      <c r="L71" s="27">
        <f t="shared" si="23"/>
        <v>0</v>
      </c>
      <c r="M71" s="27">
        <f t="shared" si="23"/>
        <v>0</v>
      </c>
      <c r="N71" s="27">
        <f t="shared" si="23"/>
        <v>0</v>
      </c>
      <c r="O71" s="27">
        <f t="shared" si="23"/>
        <v>0</v>
      </c>
      <c r="P71" s="27">
        <f t="shared" si="23"/>
        <v>-155340</v>
      </c>
      <c r="Q71" s="27">
        <f t="shared" si="23"/>
        <v>-77670</v>
      </c>
      <c r="R71" s="27">
        <f t="shared" si="23"/>
        <v>0</v>
      </c>
      <c r="S71" s="27">
        <f t="shared" si="23"/>
        <v>0</v>
      </c>
      <c r="T71" s="27">
        <f t="shared" si="23"/>
        <v>0</v>
      </c>
      <c r="U71" s="27">
        <f t="shared" si="23"/>
        <v>0</v>
      </c>
      <c r="V71" s="27">
        <f t="shared" si="23"/>
        <v>0</v>
      </c>
      <c r="W71" s="27">
        <f t="shared" si="23"/>
        <v>0</v>
      </c>
    </row>
    <row r="72" spans="1:23">
      <c r="E72" s="27" t="str">
        <f xml:space="preserve"> E$52</f>
        <v>MAT Term Loan Interest</v>
      </c>
      <c r="F72" s="27">
        <f t="shared" ref="F72:W72" si="24" xml:space="preserve"> F$52</f>
        <v>0</v>
      </c>
      <c r="G72" s="27" t="str">
        <f t="shared" si="24"/>
        <v>Kes '000'</v>
      </c>
      <c r="H72" s="27">
        <f t="shared" si="24"/>
        <v>-2025000</v>
      </c>
      <c r="I72" s="27">
        <f t="shared" si="24"/>
        <v>0</v>
      </c>
      <c r="J72" s="27">
        <f t="shared" si="24"/>
        <v>0</v>
      </c>
      <c r="K72" s="27">
        <f t="shared" si="24"/>
        <v>0</v>
      </c>
      <c r="L72" s="27">
        <f t="shared" si="24"/>
        <v>0</v>
      </c>
      <c r="M72" s="27">
        <f t="shared" si="24"/>
        <v>0</v>
      </c>
      <c r="N72" s="27">
        <f t="shared" si="24"/>
        <v>0</v>
      </c>
      <c r="O72" s="27">
        <f t="shared" si="24"/>
        <v>0</v>
      </c>
      <c r="P72" s="27">
        <f t="shared" si="24"/>
        <v>0</v>
      </c>
      <c r="Q72" s="27">
        <f t="shared" si="24"/>
        <v>-150000</v>
      </c>
      <c r="R72" s="27">
        <f t="shared" si="24"/>
        <v>-225000</v>
      </c>
      <c r="S72" s="27">
        <f t="shared" si="24"/>
        <v>-300000</v>
      </c>
      <c r="T72" s="27">
        <f t="shared" si="24"/>
        <v>-450000</v>
      </c>
      <c r="U72" s="27">
        <f t="shared" si="24"/>
        <v>-360000</v>
      </c>
      <c r="V72" s="27">
        <f t="shared" si="24"/>
        <v>-270000</v>
      </c>
      <c r="W72" s="27">
        <f t="shared" si="24"/>
        <v>-270000</v>
      </c>
    </row>
    <row r="73" spans="1:23">
      <c r="E73" s="58" t="s">
        <v>329</v>
      </c>
      <c r="G73" s="58" t="str">
        <f>smu</f>
        <v>Kes '000'</v>
      </c>
      <c r="H73" s="58">
        <f xml:space="preserve"> SUM(J73:W73)</f>
        <v>-2258010</v>
      </c>
      <c r="J73" s="58">
        <f>SUM(J71:J72)</f>
        <v>0</v>
      </c>
      <c r="K73" s="58">
        <f t="shared" ref="K73:W73" si="25">SUM(K71:K72)</f>
        <v>0</v>
      </c>
      <c r="L73" s="58">
        <f t="shared" si="25"/>
        <v>0</v>
      </c>
      <c r="M73" s="58">
        <f t="shared" si="25"/>
        <v>0</v>
      </c>
      <c r="N73" s="58">
        <f t="shared" si="25"/>
        <v>0</v>
      </c>
      <c r="O73" s="58">
        <f t="shared" si="25"/>
        <v>0</v>
      </c>
      <c r="P73" s="58">
        <f t="shared" si="25"/>
        <v>-155340</v>
      </c>
      <c r="Q73" s="58">
        <f t="shared" si="25"/>
        <v>-227670</v>
      </c>
      <c r="R73" s="58">
        <f t="shared" si="25"/>
        <v>-225000</v>
      </c>
      <c r="S73" s="58">
        <f t="shared" si="25"/>
        <v>-300000</v>
      </c>
      <c r="T73" s="58">
        <f t="shared" si="25"/>
        <v>-450000</v>
      </c>
      <c r="U73" s="58">
        <f t="shared" si="25"/>
        <v>-360000</v>
      </c>
      <c r="V73" s="58">
        <f t="shared" si="25"/>
        <v>-270000</v>
      </c>
      <c r="W73" s="58">
        <f t="shared" si="25"/>
        <v>-270000</v>
      </c>
    </row>
    <row r="74" spans="1:23">
      <c r="E74" s="282" t="str">
        <f xml:space="preserve"> Time!E$43</f>
        <v>Forecast period flag</v>
      </c>
      <c r="F74" s="282">
        <f xml:space="preserve"> Time!F$43</f>
        <v>0</v>
      </c>
      <c r="G74" s="282" t="str">
        <f xml:space="preserve"> Time!G$43</f>
        <v>flag</v>
      </c>
      <c r="H74" s="282">
        <f xml:space="preserve"> Time!H$43</f>
        <v>6</v>
      </c>
      <c r="I74" s="282">
        <f xml:space="preserve"> Time!I$43</f>
        <v>0</v>
      </c>
      <c r="J74" s="282">
        <f xml:space="preserve"> Time!J$43</f>
        <v>0</v>
      </c>
      <c r="K74" s="282">
        <f xml:space="preserve"> Time!K$43</f>
        <v>0</v>
      </c>
      <c r="L74" s="282">
        <f xml:space="preserve"> Time!L$43</f>
        <v>0</v>
      </c>
      <c r="M74" s="282">
        <f xml:space="preserve"> Time!M$43</f>
        <v>0</v>
      </c>
      <c r="N74" s="282">
        <f xml:space="preserve"> Time!N$43</f>
        <v>0</v>
      </c>
      <c r="O74" s="282">
        <f xml:space="preserve"> Time!O$43</f>
        <v>0</v>
      </c>
      <c r="P74" s="282">
        <f xml:space="preserve"> Time!P$43</f>
        <v>1</v>
      </c>
      <c r="Q74" s="282">
        <f xml:space="preserve"> Time!Q$43</f>
        <v>1</v>
      </c>
      <c r="R74" s="282">
        <f xml:space="preserve"> Time!R$43</f>
        <v>1</v>
      </c>
      <c r="S74" s="282">
        <f xml:space="preserve"> Time!S$43</f>
        <v>1</v>
      </c>
      <c r="T74" s="282">
        <f xml:space="preserve"> Time!T$43</f>
        <v>1</v>
      </c>
      <c r="U74" s="282">
        <f xml:space="preserve"> Time!U$43</f>
        <v>1</v>
      </c>
      <c r="V74" s="282">
        <f xml:space="preserve"> Time!V$43</f>
        <v>0</v>
      </c>
      <c r="W74" s="282">
        <f xml:space="preserve"> Time!W$43</f>
        <v>0</v>
      </c>
    </row>
    <row r="75" spans="1:23" s="191" customFormat="1">
      <c r="A75" s="188"/>
      <c r="B75" s="189"/>
      <c r="C75" s="291"/>
      <c r="D75" s="190"/>
      <c r="E75" s="191" t="str">
        <f>"Forecast"&amp;" "&amp;E73</f>
        <v>Forecast Total Financing Cost</v>
      </c>
      <c r="F75" s="191" t="s">
        <v>248</v>
      </c>
      <c r="G75" s="191" t="str">
        <f>smu</f>
        <v>Kes '000'</v>
      </c>
      <c r="H75" s="191">
        <f xml:space="preserve"> SUM(J75:W75)</f>
        <v>-1718010</v>
      </c>
      <c r="J75" s="191">
        <f>J73*J74</f>
        <v>0</v>
      </c>
      <c r="K75" s="191">
        <f t="shared" ref="K75:W75" si="26">K73*K74</f>
        <v>0</v>
      </c>
      <c r="L75" s="191">
        <f t="shared" si="26"/>
        <v>0</v>
      </c>
      <c r="M75" s="191">
        <f t="shared" si="26"/>
        <v>0</v>
      </c>
      <c r="N75" s="191">
        <f t="shared" si="26"/>
        <v>0</v>
      </c>
      <c r="O75" s="191">
        <f t="shared" si="26"/>
        <v>0</v>
      </c>
      <c r="P75" s="191">
        <f t="shared" si="26"/>
        <v>-155340</v>
      </c>
      <c r="Q75" s="191">
        <f t="shared" si="26"/>
        <v>-227670</v>
      </c>
      <c r="R75" s="191">
        <f t="shared" si="26"/>
        <v>-225000</v>
      </c>
      <c r="S75" s="191">
        <f t="shared" si="26"/>
        <v>-300000</v>
      </c>
      <c r="T75" s="191">
        <f t="shared" si="26"/>
        <v>-450000</v>
      </c>
      <c r="U75" s="191">
        <f t="shared" si="26"/>
        <v>-360000</v>
      </c>
      <c r="V75" s="191">
        <f t="shared" si="26"/>
        <v>0</v>
      </c>
      <c r="W75" s="191">
        <f t="shared" si="26"/>
        <v>0</v>
      </c>
    </row>
  </sheetData>
  <conditionalFormatting sqref="F2">
    <cfRule type="cellIs" dxfId="27" priority="1" stopIfTrue="1" operator="notEqual">
      <formula>0</formula>
    </cfRule>
    <cfRule type="cellIs" dxfId="26" priority="2" stopIfTrue="1" operator="equal">
      <formula>""</formula>
    </cfRule>
  </conditionalFormatting>
  <conditionalFormatting sqref="J3:BY3">
    <cfRule type="cellIs" dxfId="25" priority="5" stopIfTrue="1" operator="equal">
      <formula>"Pre-forecast"</formula>
    </cfRule>
    <cfRule type="cellIs" dxfId="24"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0" tint="-0.14999847407452621"/>
    <outlinePr summaryBelow="0" summaryRight="0"/>
  </sheetPr>
  <dimension ref="A1:CA55"/>
  <sheetViews>
    <sheetView defaultGridColor="0" colorId="22" zoomScale="80" workbookViewId="0">
      <pane xSplit="9" ySplit="5" topLeftCell="J41" activePane="bottomRight" state="frozen"/>
      <selection activeCell="F2" sqref="F2"/>
      <selection pane="topRight" activeCell="F2" sqref="F2"/>
      <selection pane="bottomLeft" activeCell="F2" sqref="F2"/>
      <selection pane="bottomRight" activeCell="E38" sqref="E38"/>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2" style="58" bestFit="1" customWidth="1"/>
    <col min="6" max="6" width="12.7109375" style="58" customWidth="1"/>
    <col min="7" max="7" width="11.7109375" style="58" customWidth="1"/>
    <col min="8" max="8" width="13.42578125" style="58" bestFit="1" customWidth="1"/>
    <col min="9" max="9" width="2.7109375" style="58" customWidth="1"/>
    <col min="10" max="15" width="11.7109375" style="58" customWidth="1"/>
    <col min="16" max="21" width="12.28515625" style="58" bestFit="1" customWidth="1"/>
    <col min="22"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Tax</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c r="B7" s="4" t="s">
        <v>330</v>
      </c>
      <c r="C7" s="132"/>
      <c r="D7" s="133"/>
    </row>
    <row r="8" spans="1:77">
      <c r="B8" s="58"/>
    </row>
    <row r="9" spans="1:77">
      <c r="C9" s="16" t="s">
        <v>333</v>
      </c>
    </row>
    <row r="11" spans="1:77">
      <c r="E11" s="282" t="str">
        <f xml:space="preserve"> 'FinStat Act'!E$23</f>
        <v>Profit before income tax Actuals</v>
      </c>
      <c r="F11" s="282">
        <f xml:space="preserve"> 'FinStat Act'!F$23</f>
        <v>0</v>
      </c>
      <c r="G11" s="282" t="str">
        <f xml:space="preserve"> 'FinStat Act'!G$23</f>
        <v>Kes '000'</v>
      </c>
      <c r="H11" s="282">
        <f xml:space="preserve"> 'FinStat Act'!H$23</f>
        <v>23306836</v>
      </c>
      <c r="I11" s="282">
        <f xml:space="preserve"> 'FinStat Act'!I$23</f>
        <v>0</v>
      </c>
      <c r="J11" s="282">
        <f xml:space="preserve"> 'FinStat Act'!J$23</f>
        <v>2479882</v>
      </c>
      <c r="K11" s="282">
        <f xml:space="preserve"> 'FinStat Act'!K$23</f>
        <v>2126194</v>
      </c>
      <c r="L11" s="282">
        <f xml:space="preserve"> 'FinStat Act'!L$23</f>
        <v>2661072</v>
      </c>
      <c r="M11" s="282">
        <f xml:space="preserve"> 'FinStat Act'!M$23</f>
        <v>5406546</v>
      </c>
      <c r="N11" s="282">
        <f xml:space="preserve"> 'FinStat Act'!N$23</f>
        <v>5201134</v>
      </c>
      <c r="O11" s="282">
        <f xml:space="preserve"> 'FinStat Act'!O$23</f>
        <v>5432008</v>
      </c>
      <c r="P11" s="282">
        <f xml:space="preserve"> 'FinStat Act'!P$23</f>
        <v>0</v>
      </c>
      <c r="Q11" s="282">
        <f xml:space="preserve"> 'FinStat Act'!Q$23</f>
        <v>0</v>
      </c>
      <c r="R11" s="282">
        <f xml:space="preserve"> 'FinStat Act'!R$23</f>
        <v>0</v>
      </c>
      <c r="S11" s="282">
        <f xml:space="preserve"> 'FinStat Act'!S$23</f>
        <v>0</v>
      </c>
      <c r="T11" s="282">
        <f xml:space="preserve"> 'FinStat Act'!T$23</f>
        <v>0</v>
      </c>
      <c r="U11" s="282">
        <f xml:space="preserve"> 'FinStat Act'!U$23</f>
        <v>0</v>
      </c>
      <c r="V11" s="282">
        <f xml:space="preserve"> 'FinStat Act'!V$23</f>
        <v>0</v>
      </c>
      <c r="W11" s="282">
        <f xml:space="preserve"> 'FinStat Act'!W$23</f>
        <v>0</v>
      </c>
    </row>
    <row r="12" spans="1:77">
      <c r="E12" s="282" t="str">
        <f xml:space="preserve"> 'FinStat Act'!E$24</f>
        <v>Tax calculated at domestic rate; 30% Actuals</v>
      </c>
      <c r="F12" s="282">
        <f xml:space="preserve"> 'FinStat Act'!F$24</f>
        <v>0</v>
      </c>
      <c r="G12" s="282" t="str">
        <f xml:space="preserve"> 'FinStat Act'!G$24</f>
        <v>Kes '000'</v>
      </c>
      <c r="H12" s="282">
        <f xml:space="preserve"> 'FinStat Act'!H$24</f>
        <v>-7336958.7999999998</v>
      </c>
      <c r="I12" s="282">
        <f xml:space="preserve"> 'FinStat Act'!I$24</f>
        <v>0</v>
      </c>
      <c r="J12" s="282">
        <f xml:space="preserve"> 'FinStat Act'!J$24</f>
        <v>-716517.9</v>
      </c>
      <c r="K12" s="282">
        <f xml:space="preserve"> 'FinStat Act'!K$24</f>
        <v>-630533.19999999995</v>
      </c>
      <c r="L12" s="282">
        <f xml:space="preserve"> 'FinStat Act'!L$24</f>
        <v>-955335.6</v>
      </c>
      <c r="M12" s="282">
        <f xml:space="preserve"> 'FinStat Act'!M$24</f>
        <v>-1665359.5999999999</v>
      </c>
      <c r="N12" s="282">
        <f xml:space="preserve"> 'FinStat Act'!N$24</f>
        <v>-1622949</v>
      </c>
      <c r="O12" s="282">
        <f xml:space="preserve"> 'FinStat Act'!O$24</f>
        <v>-1746263.5</v>
      </c>
      <c r="P12" s="282">
        <f xml:space="preserve"> 'FinStat Act'!P$24</f>
        <v>0</v>
      </c>
      <c r="Q12" s="282">
        <f xml:space="preserve"> 'FinStat Act'!Q$24</f>
        <v>0</v>
      </c>
      <c r="R12" s="282">
        <f xml:space="preserve"> 'FinStat Act'!R$24</f>
        <v>0</v>
      </c>
      <c r="S12" s="282">
        <f xml:space="preserve"> 'FinStat Act'!S$24</f>
        <v>0</v>
      </c>
      <c r="T12" s="282">
        <f xml:space="preserve"> 'FinStat Act'!T$24</f>
        <v>0</v>
      </c>
      <c r="U12" s="282">
        <f xml:space="preserve"> 'FinStat Act'!U$24</f>
        <v>0</v>
      </c>
      <c r="V12" s="282">
        <f xml:space="preserve"> 'FinStat Act'!V$24</f>
        <v>0</v>
      </c>
      <c r="W12" s="282">
        <f xml:space="preserve"> 'FinStat Act'!W$24</f>
        <v>0</v>
      </c>
    </row>
    <row r="13" spans="1:77">
      <c r="E13" s="58" t="s">
        <v>331</v>
      </c>
      <c r="F13" s="2">
        <f>AVERAGE(J13:W13)</f>
        <v>0.31433863965416486</v>
      </c>
      <c r="G13" s="58" t="s">
        <v>179</v>
      </c>
      <c r="H13" s="2"/>
      <c r="I13" s="2"/>
      <c r="J13" s="2">
        <f>IF(AND(J11&lt;&gt;0,J12&lt;&gt;0),ABS(J12/J11),"N/A")</f>
        <v>0.28893225564764774</v>
      </c>
      <c r="K13" s="2">
        <f t="shared" ref="K13:W13" si="0">IF(AND(K11&lt;&gt;0,K12&lt;&gt;0),ABS(K12/K11),"N/A")</f>
        <v>0.29655487693032712</v>
      </c>
      <c r="L13" s="2">
        <f t="shared" si="0"/>
        <v>0.35900404047692058</v>
      </c>
      <c r="M13" s="2">
        <f t="shared" si="0"/>
        <v>0.30802652932204772</v>
      </c>
      <c r="N13" s="2">
        <f t="shared" si="0"/>
        <v>0.31203752873892499</v>
      </c>
      <c r="O13" s="2">
        <f t="shared" si="0"/>
        <v>0.32147660680912105</v>
      </c>
      <c r="P13" s="2" t="str">
        <f t="shared" si="0"/>
        <v>N/A</v>
      </c>
      <c r="Q13" s="2" t="str">
        <f t="shared" si="0"/>
        <v>N/A</v>
      </c>
      <c r="R13" s="2" t="str">
        <f t="shared" si="0"/>
        <v>N/A</v>
      </c>
      <c r="S13" s="2" t="str">
        <f t="shared" si="0"/>
        <v>N/A</v>
      </c>
      <c r="T13" s="2" t="str">
        <f t="shared" si="0"/>
        <v>N/A</v>
      </c>
      <c r="U13" s="2" t="str">
        <f t="shared" si="0"/>
        <v>N/A</v>
      </c>
      <c r="V13" s="2" t="str">
        <f t="shared" si="0"/>
        <v>N/A</v>
      </c>
      <c r="W13" s="2" t="str">
        <f t="shared" si="0"/>
        <v>N/A</v>
      </c>
    </row>
    <row r="15" spans="1:77">
      <c r="C15" s="16" t="s">
        <v>334</v>
      </c>
    </row>
    <row r="17" spans="1:79">
      <c r="E17" s="357" t="str">
        <f xml:space="preserve"> InpS!E$40</f>
        <v>Forecast Tax expense rate</v>
      </c>
      <c r="F17" s="357">
        <f xml:space="preserve"> InpS!F$40</f>
        <v>0</v>
      </c>
      <c r="G17" s="357" t="str">
        <f xml:space="preserve"> InpS!G$40</f>
        <v>%</v>
      </c>
      <c r="H17" s="357">
        <f xml:space="preserve"> InpS!H$40</f>
        <v>0</v>
      </c>
      <c r="I17" s="357">
        <f xml:space="preserve"> InpS!I$40</f>
        <v>0</v>
      </c>
      <c r="J17" s="357">
        <f xml:space="preserve"> InpS!J$40</f>
        <v>0</v>
      </c>
      <c r="K17" s="357">
        <f xml:space="preserve"> InpS!K$40</f>
        <v>0</v>
      </c>
      <c r="L17" s="357">
        <f xml:space="preserve"> InpS!L$40</f>
        <v>0</v>
      </c>
      <c r="M17" s="357">
        <f xml:space="preserve"> InpS!M$40</f>
        <v>0</v>
      </c>
      <c r="N17" s="357">
        <f xml:space="preserve"> InpS!N$40</f>
        <v>0</v>
      </c>
      <c r="O17" s="357">
        <f xml:space="preserve"> InpS!O$40</f>
        <v>0</v>
      </c>
      <c r="P17" s="357">
        <f xml:space="preserve"> InpS!P$40</f>
        <v>0.314</v>
      </c>
      <c r="Q17" s="357">
        <f xml:space="preserve"> InpS!Q$40</f>
        <v>0.314</v>
      </c>
      <c r="R17" s="357">
        <f xml:space="preserve"> InpS!R$40</f>
        <v>0.314</v>
      </c>
      <c r="S17" s="357">
        <f xml:space="preserve"> InpS!S$40</f>
        <v>0.314</v>
      </c>
      <c r="T17" s="357">
        <f xml:space="preserve"> InpS!T$40</f>
        <v>0.314</v>
      </c>
      <c r="U17" s="357">
        <f xml:space="preserve"> InpS!U$40</f>
        <v>0.314</v>
      </c>
      <c r="V17" s="290"/>
      <c r="W17" s="290"/>
    </row>
    <row r="19" spans="1:79">
      <c r="C19" s="16" t="s">
        <v>330</v>
      </c>
    </row>
    <row r="21" spans="1:79">
      <c r="E21" s="288" t="str">
        <f xml:space="preserve"> E$17</f>
        <v>Forecast Tax expense rate</v>
      </c>
      <c r="F21" s="288">
        <f t="shared" ref="F21:W21" si="1" xml:space="preserve"> F$17</f>
        <v>0</v>
      </c>
      <c r="G21" s="288" t="str">
        <f t="shared" si="1"/>
        <v>%</v>
      </c>
      <c r="H21" s="288">
        <f t="shared" si="1"/>
        <v>0</v>
      </c>
      <c r="I21" s="288">
        <f t="shared" si="1"/>
        <v>0</v>
      </c>
      <c r="J21" s="288">
        <f t="shared" si="1"/>
        <v>0</v>
      </c>
      <c r="K21" s="288">
        <f t="shared" si="1"/>
        <v>0</v>
      </c>
      <c r="L21" s="288">
        <f t="shared" si="1"/>
        <v>0</v>
      </c>
      <c r="M21" s="288">
        <f t="shared" si="1"/>
        <v>0</v>
      </c>
      <c r="N21" s="288">
        <f t="shared" si="1"/>
        <v>0</v>
      </c>
      <c r="O21" s="288">
        <f t="shared" si="1"/>
        <v>0</v>
      </c>
      <c r="P21" s="288">
        <f t="shared" si="1"/>
        <v>0.314</v>
      </c>
      <c r="Q21" s="288">
        <f t="shared" si="1"/>
        <v>0.314</v>
      </c>
      <c r="R21" s="288">
        <f t="shared" si="1"/>
        <v>0.314</v>
      </c>
      <c r="S21" s="288">
        <f t="shared" si="1"/>
        <v>0.314</v>
      </c>
      <c r="T21" s="288">
        <f t="shared" si="1"/>
        <v>0.314</v>
      </c>
      <c r="U21" s="288">
        <f t="shared" si="1"/>
        <v>0.314</v>
      </c>
      <c r="V21" s="288">
        <f t="shared" si="1"/>
        <v>0</v>
      </c>
      <c r="W21" s="288">
        <f t="shared" si="1"/>
        <v>0</v>
      </c>
    </row>
    <row r="22" spans="1:79">
      <c r="E22" s="282" t="str">
        <f xml:space="preserve"> FinStat!E$23</f>
        <v>Profit before income tax</v>
      </c>
      <c r="F22" s="282">
        <f xml:space="preserve"> FinStat!F$23</f>
        <v>0</v>
      </c>
      <c r="G22" s="282" t="str">
        <f xml:space="preserve"> FinStat!G$23</f>
        <v>Kes '000'</v>
      </c>
      <c r="H22" s="282">
        <f xml:space="preserve"> FinStat!H$23</f>
        <v>94953752.208118588</v>
      </c>
      <c r="I22" s="282">
        <f xml:space="preserve"> FinStat!I$23</f>
        <v>0</v>
      </c>
      <c r="J22" s="282">
        <f xml:space="preserve"> FinStat!J$23</f>
        <v>2479882</v>
      </c>
      <c r="K22" s="282">
        <f xml:space="preserve"> FinStat!K$23</f>
        <v>2126194</v>
      </c>
      <c r="L22" s="282">
        <f xml:space="preserve"> FinStat!L$23</f>
        <v>2661072</v>
      </c>
      <c r="M22" s="282">
        <f xml:space="preserve"> FinStat!M$23</f>
        <v>5406546</v>
      </c>
      <c r="N22" s="282">
        <f xml:space="preserve"> FinStat!N$23</f>
        <v>5201134</v>
      </c>
      <c r="O22" s="282">
        <f xml:space="preserve"> FinStat!O$23</f>
        <v>5432008</v>
      </c>
      <c r="P22" s="282">
        <f xml:space="preserve"> FinStat!P$23</f>
        <v>7509411.6387722213</v>
      </c>
      <c r="Q22" s="282">
        <f xml:space="preserve"> FinStat!Q$23</f>
        <v>8813631.2981236074</v>
      </c>
      <c r="R22" s="282">
        <f xml:space="preserve"> FinStat!R$23</f>
        <v>10518836.389195928</v>
      </c>
      <c r="S22" s="282">
        <f xml:space="preserve"> FinStat!S$23</f>
        <v>12466821.989977628</v>
      </c>
      <c r="T22" s="282">
        <f xml:space="preserve"> FinStat!T$23</f>
        <v>14669673.059468159</v>
      </c>
      <c r="U22" s="282">
        <f xml:space="preserve"> FinStat!U$23</f>
        <v>17668541.832581043</v>
      </c>
      <c r="V22" s="282">
        <f xml:space="preserve"> FinStat!V$23</f>
        <v>0</v>
      </c>
      <c r="W22" s="282">
        <f xml:space="preserve"> FinStat!W$23</f>
        <v>0</v>
      </c>
    </row>
    <row r="23" spans="1:79">
      <c r="E23" s="58" t="s">
        <v>332</v>
      </c>
      <c r="G23" s="58" t="str">
        <f>smu</f>
        <v>Kes '000'</v>
      </c>
      <c r="H23" s="58">
        <f xml:space="preserve"> SUM(J23:W23)</f>
        <v>22497131.689349238</v>
      </c>
      <c r="J23" s="58">
        <f>J21*J22</f>
        <v>0</v>
      </c>
      <c r="K23" s="58">
        <f t="shared" ref="K23:W23" si="2">K21*K22</f>
        <v>0</v>
      </c>
      <c r="L23" s="58">
        <f t="shared" si="2"/>
        <v>0</v>
      </c>
      <c r="M23" s="58">
        <f t="shared" si="2"/>
        <v>0</v>
      </c>
      <c r="N23" s="58">
        <f t="shared" si="2"/>
        <v>0</v>
      </c>
      <c r="O23" s="58">
        <f t="shared" si="2"/>
        <v>0</v>
      </c>
      <c r="P23" s="58">
        <f>P21*P22</f>
        <v>2357955.2545744777</v>
      </c>
      <c r="Q23" s="58">
        <f t="shared" si="2"/>
        <v>2767480.2276108125</v>
      </c>
      <c r="R23" s="58">
        <f t="shared" si="2"/>
        <v>3302914.6262075217</v>
      </c>
      <c r="S23" s="58">
        <f t="shared" si="2"/>
        <v>3914582.1048529753</v>
      </c>
      <c r="T23" s="58">
        <f t="shared" si="2"/>
        <v>4606277.3406730024</v>
      </c>
      <c r="U23" s="58">
        <f t="shared" si="2"/>
        <v>5547922.1354304478</v>
      </c>
      <c r="V23" s="58">
        <f t="shared" si="2"/>
        <v>0</v>
      </c>
      <c r="W23" s="58">
        <f t="shared" si="2"/>
        <v>0</v>
      </c>
    </row>
    <row r="24" spans="1:79" s="141" customFormat="1">
      <c r="A24" s="138"/>
      <c r="B24" s="130"/>
      <c r="C24" s="139"/>
      <c r="D24" s="140"/>
      <c r="E24" s="141" t="str">
        <f xml:space="preserve"> LEFT(E23, LEN(E23) - 4)</f>
        <v>Forecast Tax expense</v>
      </c>
      <c r="F24" s="141" t="s">
        <v>251</v>
      </c>
      <c r="G24" s="141" t="str">
        <f xml:space="preserve"> G23</f>
        <v>Kes '000'</v>
      </c>
      <c r="H24" s="141">
        <f>SUM(J24:CA24)</f>
        <v>-22497131.689349238</v>
      </c>
      <c r="J24" s="141">
        <f t="shared" ref="J24:BU24" si="3" xml:space="preserve"> -1 * J23</f>
        <v>0</v>
      </c>
      <c r="K24" s="141">
        <f t="shared" si="3"/>
        <v>0</v>
      </c>
      <c r="L24" s="141">
        <f t="shared" si="3"/>
        <v>0</v>
      </c>
      <c r="M24" s="141">
        <f t="shared" si="3"/>
        <v>0</v>
      </c>
      <c r="N24" s="141">
        <f t="shared" si="3"/>
        <v>0</v>
      </c>
      <c r="O24" s="141">
        <f t="shared" si="3"/>
        <v>0</v>
      </c>
      <c r="P24" s="141">
        <f t="shared" si="3"/>
        <v>-2357955.2545744777</v>
      </c>
      <c r="Q24" s="141">
        <f t="shared" si="3"/>
        <v>-2767480.2276108125</v>
      </c>
      <c r="R24" s="141">
        <f t="shared" si="3"/>
        <v>-3302914.6262075217</v>
      </c>
      <c r="S24" s="141">
        <f t="shared" si="3"/>
        <v>-3914582.1048529753</v>
      </c>
      <c r="T24" s="141">
        <f t="shared" si="3"/>
        <v>-4606277.3406730024</v>
      </c>
      <c r="U24" s="141">
        <f t="shared" si="3"/>
        <v>-5547922.1354304478</v>
      </c>
      <c r="V24" s="141">
        <f t="shared" si="3"/>
        <v>0</v>
      </c>
      <c r="W24" s="141">
        <f t="shared" si="3"/>
        <v>0</v>
      </c>
      <c r="X24" s="141">
        <f t="shared" si="3"/>
        <v>0</v>
      </c>
      <c r="Y24" s="141">
        <f t="shared" si="3"/>
        <v>0</v>
      </c>
      <c r="Z24" s="141">
        <f t="shared" si="3"/>
        <v>0</v>
      </c>
      <c r="AA24" s="141">
        <f t="shared" si="3"/>
        <v>0</v>
      </c>
      <c r="AB24" s="141">
        <f t="shared" si="3"/>
        <v>0</v>
      </c>
      <c r="AC24" s="141">
        <f t="shared" si="3"/>
        <v>0</v>
      </c>
      <c r="AD24" s="141">
        <f t="shared" si="3"/>
        <v>0</v>
      </c>
      <c r="AE24" s="141">
        <f t="shared" si="3"/>
        <v>0</v>
      </c>
      <c r="AF24" s="141">
        <f t="shared" si="3"/>
        <v>0</v>
      </c>
      <c r="AG24" s="141">
        <f t="shared" si="3"/>
        <v>0</v>
      </c>
      <c r="AH24" s="141">
        <f t="shared" si="3"/>
        <v>0</v>
      </c>
      <c r="AI24" s="141">
        <f t="shared" si="3"/>
        <v>0</v>
      </c>
      <c r="AJ24" s="141">
        <f t="shared" si="3"/>
        <v>0</v>
      </c>
      <c r="AK24" s="141">
        <f t="shared" si="3"/>
        <v>0</v>
      </c>
      <c r="AL24" s="141">
        <f t="shared" si="3"/>
        <v>0</v>
      </c>
      <c r="AM24" s="141">
        <f t="shared" si="3"/>
        <v>0</v>
      </c>
      <c r="AN24" s="141">
        <f t="shared" si="3"/>
        <v>0</v>
      </c>
      <c r="AO24" s="141">
        <f t="shared" si="3"/>
        <v>0</v>
      </c>
      <c r="AP24" s="141">
        <f t="shared" si="3"/>
        <v>0</v>
      </c>
      <c r="AQ24" s="141">
        <f t="shared" si="3"/>
        <v>0</v>
      </c>
      <c r="AR24" s="141">
        <f t="shared" si="3"/>
        <v>0</v>
      </c>
      <c r="AS24" s="141">
        <f t="shared" si="3"/>
        <v>0</v>
      </c>
      <c r="AT24" s="141">
        <f t="shared" si="3"/>
        <v>0</v>
      </c>
      <c r="AU24" s="141">
        <f t="shared" si="3"/>
        <v>0</v>
      </c>
      <c r="AV24" s="141">
        <f t="shared" si="3"/>
        <v>0</v>
      </c>
      <c r="AW24" s="141">
        <f t="shared" si="3"/>
        <v>0</v>
      </c>
      <c r="AX24" s="141">
        <f t="shared" si="3"/>
        <v>0</v>
      </c>
      <c r="AY24" s="141">
        <f t="shared" si="3"/>
        <v>0</v>
      </c>
      <c r="AZ24" s="141">
        <f t="shared" si="3"/>
        <v>0</v>
      </c>
      <c r="BA24" s="141">
        <f t="shared" si="3"/>
        <v>0</v>
      </c>
      <c r="BB24" s="141">
        <f t="shared" si="3"/>
        <v>0</v>
      </c>
      <c r="BC24" s="141">
        <f t="shared" si="3"/>
        <v>0</v>
      </c>
      <c r="BD24" s="141">
        <f t="shared" si="3"/>
        <v>0</v>
      </c>
      <c r="BE24" s="141">
        <f t="shared" si="3"/>
        <v>0</v>
      </c>
      <c r="BF24" s="141">
        <f t="shared" si="3"/>
        <v>0</v>
      </c>
      <c r="BG24" s="141">
        <f t="shared" si="3"/>
        <v>0</v>
      </c>
      <c r="BH24" s="141">
        <f t="shared" si="3"/>
        <v>0</v>
      </c>
      <c r="BI24" s="141">
        <f t="shared" si="3"/>
        <v>0</v>
      </c>
      <c r="BJ24" s="141">
        <f t="shared" si="3"/>
        <v>0</v>
      </c>
      <c r="BK24" s="141">
        <f t="shared" si="3"/>
        <v>0</v>
      </c>
      <c r="BL24" s="141">
        <f t="shared" si="3"/>
        <v>0</v>
      </c>
      <c r="BM24" s="141">
        <f t="shared" si="3"/>
        <v>0</v>
      </c>
      <c r="BN24" s="141">
        <f t="shared" si="3"/>
        <v>0</v>
      </c>
      <c r="BO24" s="141">
        <f t="shared" si="3"/>
        <v>0</v>
      </c>
      <c r="BP24" s="141">
        <f t="shared" si="3"/>
        <v>0</v>
      </c>
      <c r="BQ24" s="141">
        <f t="shared" si="3"/>
        <v>0</v>
      </c>
      <c r="BR24" s="141">
        <f t="shared" si="3"/>
        <v>0</v>
      </c>
      <c r="BS24" s="141">
        <f t="shared" si="3"/>
        <v>0</v>
      </c>
      <c r="BT24" s="141">
        <f t="shared" si="3"/>
        <v>0</v>
      </c>
      <c r="BU24" s="141">
        <f t="shared" si="3"/>
        <v>0</v>
      </c>
      <c r="BV24" s="141">
        <f t="shared" ref="BV24:CA24" si="4" xml:space="preserve"> -1 * BV23</f>
        <v>0</v>
      </c>
      <c r="BW24" s="141">
        <f t="shared" si="4"/>
        <v>0</v>
      </c>
      <c r="BX24" s="141">
        <f t="shared" si="4"/>
        <v>0</v>
      </c>
      <c r="BY24" s="141">
        <f t="shared" si="4"/>
        <v>0</v>
      </c>
      <c r="BZ24" s="141">
        <f t="shared" si="4"/>
        <v>0</v>
      </c>
      <c r="CA24" s="141">
        <f t="shared" si="4"/>
        <v>0</v>
      </c>
    </row>
    <row r="26" spans="1:79" s="134" customFormat="1">
      <c r="A26" s="130"/>
      <c r="B26" s="4" t="s">
        <v>335</v>
      </c>
      <c r="C26" s="132"/>
      <c r="D26" s="133"/>
    </row>
    <row r="27" spans="1:79">
      <c r="B27" s="58"/>
    </row>
    <row r="28" spans="1:79">
      <c r="C28" s="16" t="s">
        <v>336</v>
      </c>
    </row>
    <row r="30" spans="1:79">
      <c r="E30" s="282" t="str">
        <f xml:space="preserve"> 'FinStat Act'!E$23</f>
        <v>Profit before income tax Actuals</v>
      </c>
      <c r="F30" s="282">
        <f xml:space="preserve"> 'FinStat Act'!F$23</f>
        <v>0</v>
      </c>
      <c r="G30" s="282" t="str">
        <f xml:space="preserve"> 'FinStat Act'!G$23</f>
        <v>Kes '000'</v>
      </c>
      <c r="H30" s="282">
        <f xml:space="preserve"> 'FinStat Act'!H$23</f>
        <v>23306836</v>
      </c>
      <c r="I30" s="282">
        <f xml:space="preserve"> 'FinStat Act'!I$23</f>
        <v>0</v>
      </c>
      <c r="J30" s="282">
        <f xml:space="preserve"> 'FinStat Act'!J$23</f>
        <v>2479882</v>
      </c>
      <c r="K30" s="282">
        <f xml:space="preserve"> 'FinStat Act'!K$23</f>
        <v>2126194</v>
      </c>
      <c r="L30" s="282">
        <f xml:space="preserve"> 'FinStat Act'!L$23</f>
        <v>2661072</v>
      </c>
      <c r="M30" s="282">
        <f xml:space="preserve"> 'FinStat Act'!M$23</f>
        <v>5406546</v>
      </c>
      <c r="N30" s="282">
        <f xml:space="preserve"> 'FinStat Act'!N$23</f>
        <v>5201134</v>
      </c>
      <c r="O30" s="282">
        <f xml:space="preserve"> 'FinStat Act'!O$23</f>
        <v>5432008</v>
      </c>
      <c r="P30" s="282">
        <f xml:space="preserve"> 'FinStat Act'!P$23</f>
        <v>0</v>
      </c>
      <c r="Q30" s="282">
        <f xml:space="preserve"> 'FinStat Act'!Q$23</f>
        <v>0</v>
      </c>
      <c r="R30" s="282">
        <f xml:space="preserve"> 'FinStat Act'!R$23</f>
        <v>0</v>
      </c>
      <c r="S30" s="282">
        <f xml:space="preserve"> 'FinStat Act'!S$23</f>
        <v>0</v>
      </c>
      <c r="T30" s="282">
        <f xml:space="preserve"> 'FinStat Act'!T$23</f>
        <v>0</v>
      </c>
      <c r="U30" s="282">
        <f xml:space="preserve"> 'FinStat Act'!U$23</f>
        <v>0</v>
      </c>
      <c r="V30" s="282">
        <f xml:space="preserve"> 'FinStat Act'!V$23</f>
        <v>0</v>
      </c>
      <c r="W30" s="282">
        <f xml:space="preserve"> 'FinStat Act'!W$23</f>
        <v>0</v>
      </c>
    </row>
    <row r="31" spans="1:79">
      <c r="E31" s="282" t="str">
        <f xml:space="preserve"> FinStat!E$76</f>
        <v>Income tax paid</v>
      </c>
      <c r="F31" s="282">
        <f xml:space="preserve"> FinStat!F$76</f>
        <v>0</v>
      </c>
      <c r="G31" s="282" t="str">
        <f xml:space="preserve"> FinStat!G$76</f>
        <v>Kes '000'</v>
      </c>
      <c r="H31" s="282">
        <f xml:space="preserve"> FinStat!H$76</f>
        <v>-28240596.862435576</v>
      </c>
      <c r="I31" s="282">
        <f xml:space="preserve"> FinStat!I$76</f>
        <v>0</v>
      </c>
      <c r="J31" s="282">
        <f xml:space="preserve"> FinStat!J$76</f>
        <v>-587588</v>
      </c>
      <c r="K31" s="282">
        <f xml:space="preserve"> FinStat!K$76</f>
        <v>-967985</v>
      </c>
      <c r="L31" s="282">
        <f xml:space="preserve"> FinStat!L$76</f>
        <v>-750731</v>
      </c>
      <c r="M31" s="282">
        <f xml:space="preserve"> FinStat!M$76</f>
        <v>-1350923</v>
      </c>
      <c r="N31" s="282">
        <f xml:space="preserve"> FinStat!N$76</f>
        <v>-1732218</v>
      </c>
      <c r="O31" s="282">
        <f xml:space="preserve"> FinStat!O$76</f>
        <v>-1357077</v>
      </c>
      <c r="P31" s="282">
        <f xml:space="preserve"> FinStat!P$76</f>
        <v>-2252823.4916316662</v>
      </c>
      <c r="Q31" s="282">
        <f xml:space="preserve"> FinStat!Q$76</f>
        <v>-2644089.3894370822</v>
      </c>
      <c r="R31" s="282">
        <f xml:space="preserve"> FinStat!R$76</f>
        <v>-3155650.9167587785</v>
      </c>
      <c r="S31" s="282">
        <f xml:space="preserve"> FinStat!S$76</f>
        <v>-3740046.5969932885</v>
      </c>
      <c r="T31" s="282">
        <f xml:space="preserve"> FinStat!T$76</f>
        <v>-4400901.9178404473</v>
      </c>
      <c r="U31" s="282">
        <f xml:space="preserve"> FinStat!U$76</f>
        <v>-5300562.5497743124</v>
      </c>
      <c r="V31" s="282">
        <f xml:space="preserve"> FinStat!V$76</f>
        <v>0</v>
      </c>
      <c r="W31" s="282">
        <f xml:space="preserve"> FinStat!W$76</f>
        <v>0</v>
      </c>
    </row>
    <row r="32" spans="1:79">
      <c r="E32" s="58" t="s">
        <v>337</v>
      </c>
      <c r="F32" s="2">
        <f>AVERAGE(J32:W32)</f>
        <v>0.3011780716601552</v>
      </c>
      <c r="G32" s="58" t="s">
        <v>179</v>
      </c>
      <c r="H32" s="2"/>
      <c r="I32" s="2"/>
      <c r="J32" s="2">
        <f>IF(AND(J30&lt;&gt;0,J31&lt;&gt;0),ABS(J31/J30),"N/A")</f>
        <v>0.23694191901066261</v>
      </c>
      <c r="K32" s="2">
        <f t="shared" ref="K32" si="5">IF(AND(K30&lt;&gt;0,K31&lt;&gt;0),ABS(K31/K30),"N/A")</f>
        <v>0.45526654670269973</v>
      </c>
      <c r="L32" s="2">
        <f t="shared" ref="L32" si="6">IF(AND(L30&lt;&gt;0,L31&lt;&gt;0),ABS(L31/L30),"N/A")</f>
        <v>0.28211600437718332</v>
      </c>
      <c r="M32" s="2">
        <f t="shared" ref="M32" si="7">IF(AND(M30&lt;&gt;0,M31&lt;&gt;0),ABS(M31/M30),"N/A")</f>
        <v>0.24986803034691649</v>
      </c>
      <c r="N32" s="2">
        <f t="shared" ref="N32" si="8">IF(AND(N30&lt;&gt;0,N31&lt;&gt;0),ABS(N31/N30),"N/A")</f>
        <v>0.33304621645971821</v>
      </c>
      <c r="O32" s="2">
        <f t="shared" ref="O32" si="9">IF(AND(O30&lt;&gt;0,O31&lt;&gt;0),ABS(O31/O30),"N/A")</f>
        <v>0.24982971306375101</v>
      </c>
      <c r="P32" s="2" t="str">
        <f t="shared" ref="P32" si="10">IF(AND(P30&lt;&gt;0,P31&lt;&gt;0),ABS(P31/P30),"N/A")</f>
        <v>N/A</v>
      </c>
      <c r="Q32" s="2" t="str">
        <f t="shared" ref="Q32" si="11">IF(AND(Q30&lt;&gt;0,Q31&lt;&gt;0),ABS(Q31/Q30),"N/A")</f>
        <v>N/A</v>
      </c>
      <c r="R32" s="2" t="str">
        <f t="shared" ref="R32" si="12">IF(AND(R30&lt;&gt;0,R31&lt;&gt;0),ABS(R31/R30),"N/A")</f>
        <v>N/A</v>
      </c>
      <c r="S32" s="2" t="str">
        <f t="shared" ref="S32" si="13">IF(AND(S30&lt;&gt;0,S31&lt;&gt;0),ABS(S31/S30),"N/A")</f>
        <v>N/A</v>
      </c>
      <c r="T32" s="2" t="str">
        <f t="shared" ref="T32" si="14">IF(AND(T30&lt;&gt;0,T31&lt;&gt;0),ABS(T31/T30),"N/A")</f>
        <v>N/A</v>
      </c>
      <c r="U32" s="2" t="str">
        <f t="shared" ref="U32" si="15">IF(AND(U30&lt;&gt;0,U31&lt;&gt;0),ABS(U31/U30),"N/A")</f>
        <v>N/A</v>
      </c>
      <c r="V32" s="2" t="str">
        <f t="shared" ref="V32" si="16">IF(AND(V30&lt;&gt;0,V31&lt;&gt;0),ABS(V31/V30),"N/A")</f>
        <v>N/A</v>
      </c>
      <c r="W32" s="2" t="str">
        <f t="shared" ref="W32" si="17">IF(AND(W30&lt;&gt;0,W31&lt;&gt;0),ABS(W31/W30),"N/A")</f>
        <v>N/A</v>
      </c>
    </row>
    <row r="34" spans="1:79">
      <c r="C34" s="16" t="s">
        <v>338</v>
      </c>
    </row>
    <row r="36" spans="1:79">
      <c r="E36" s="357" t="str">
        <f xml:space="preserve"> InpS!E$41</f>
        <v>Forecast Tax paid rate</v>
      </c>
      <c r="F36" s="357">
        <f xml:space="preserve"> InpS!F$41</f>
        <v>0</v>
      </c>
      <c r="G36" s="357" t="str">
        <f xml:space="preserve"> InpS!G$41</f>
        <v>%</v>
      </c>
      <c r="H36" s="357">
        <f xml:space="preserve"> InpS!H$41</f>
        <v>0</v>
      </c>
      <c r="I36" s="357">
        <f xml:space="preserve"> InpS!I$41</f>
        <v>0</v>
      </c>
      <c r="J36" s="357">
        <f xml:space="preserve"> InpS!J$41</f>
        <v>0</v>
      </c>
      <c r="K36" s="357">
        <f xml:space="preserve"> InpS!K$41</f>
        <v>0</v>
      </c>
      <c r="L36" s="357">
        <f xml:space="preserve"> InpS!L$41</f>
        <v>0</v>
      </c>
      <c r="M36" s="357">
        <f xml:space="preserve"> InpS!M$41</f>
        <v>0</v>
      </c>
      <c r="N36" s="357">
        <f xml:space="preserve"> InpS!N$41</f>
        <v>0</v>
      </c>
      <c r="O36" s="357">
        <f xml:space="preserve"> InpS!O$41</f>
        <v>0</v>
      </c>
      <c r="P36" s="357">
        <f xml:space="preserve"> InpS!P$41</f>
        <v>0.3</v>
      </c>
      <c r="Q36" s="357">
        <f xml:space="preserve"> InpS!Q$41</f>
        <v>0.3</v>
      </c>
      <c r="R36" s="357">
        <f xml:space="preserve"> InpS!R$41</f>
        <v>0.3</v>
      </c>
      <c r="S36" s="357">
        <f xml:space="preserve"> InpS!S$41</f>
        <v>0.3</v>
      </c>
      <c r="T36" s="357">
        <f xml:space="preserve"> InpS!T$41</f>
        <v>0.3</v>
      </c>
      <c r="U36" s="357">
        <f xml:space="preserve"> InpS!U$41</f>
        <v>0.3</v>
      </c>
      <c r="V36" s="290"/>
      <c r="W36" s="290"/>
    </row>
    <row r="38" spans="1:79">
      <c r="C38" s="16" t="s">
        <v>335</v>
      </c>
    </row>
    <row r="40" spans="1:79">
      <c r="E40" s="288" t="str">
        <f xml:space="preserve"> E$36</f>
        <v>Forecast Tax paid rate</v>
      </c>
      <c r="F40" s="288">
        <f t="shared" ref="F40:W40" si="18" xml:space="preserve"> F$36</f>
        <v>0</v>
      </c>
      <c r="G40" s="288" t="str">
        <f t="shared" si="18"/>
        <v>%</v>
      </c>
      <c r="H40" s="288">
        <f t="shared" si="18"/>
        <v>0</v>
      </c>
      <c r="I40" s="288">
        <f t="shared" si="18"/>
        <v>0</v>
      </c>
      <c r="J40" s="288">
        <f t="shared" si="18"/>
        <v>0</v>
      </c>
      <c r="K40" s="288">
        <f t="shared" si="18"/>
        <v>0</v>
      </c>
      <c r="L40" s="288">
        <f t="shared" si="18"/>
        <v>0</v>
      </c>
      <c r="M40" s="288">
        <f t="shared" si="18"/>
        <v>0</v>
      </c>
      <c r="N40" s="288">
        <f t="shared" si="18"/>
        <v>0</v>
      </c>
      <c r="O40" s="288">
        <f t="shared" si="18"/>
        <v>0</v>
      </c>
      <c r="P40" s="288">
        <f t="shared" si="18"/>
        <v>0.3</v>
      </c>
      <c r="Q40" s="288">
        <f t="shared" si="18"/>
        <v>0.3</v>
      </c>
      <c r="R40" s="288">
        <f t="shared" si="18"/>
        <v>0.3</v>
      </c>
      <c r="S40" s="288">
        <f t="shared" si="18"/>
        <v>0.3</v>
      </c>
      <c r="T40" s="288">
        <f t="shared" si="18"/>
        <v>0.3</v>
      </c>
      <c r="U40" s="288">
        <f t="shared" si="18"/>
        <v>0.3</v>
      </c>
      <c r="V40" s="288">
        <f t="shared" si="18"/>
        <v>0</v>
      </c>
      <c r="W40" s="288">
        <f t="shared" si="18"/>
        <v>0</v>
      </c>
    </row>
    <row r="41" spans="1:79">
      <c r="E41" s="282" t="str">
        <f xml:space="preserve"> FinStat!E$23</f>
        <v>Profit before income tax</v>
      </c>
      <c r="F41" s="282">
        <f xml:space="preserve"> FinStat!F$23</f>
        <v>0</v>
      </c>
      <c r="G41" s="282" t="str">
        <f xml:space="preserve"> FinStat!G$23</f>
        <v>Kes '000'</v>
      </c>
      <c r="H41" s="282">
        <f xml:space="preserve"> FinStat!H$23</f>
        <v>94953752.208118588</v>
      </c>
      <c r="I41" s="282">
        <f xml:space="preserve"> FinStat!I$23</f>
        <v>0</v>
      </c>
      <c r="J41" s="282">
        <f xml:space="preserve"> FinStat!J$23</f>
        <v>2479882</v>
      </c>
      <c r="K41" s="282">
        <f xml:space="preserve"> FinStat!K$23</f>
        <v>2126194</v>
      </c>
      <c r="L41" s="282">
        <f xml:space="preserve"> FinStat!L$23</f>
        <v>2661072</v>
      </c>
      <c r="M41" s="282">
        <f xml:space="preserve"> FinStat!M$23</f>
        <v>5406546</v>
      </c>
      <c r="N41" s="282">
        <f xml:space="preserve"> FinStat!N$23</f>
        <v>5201134</v>
      </c>
      <c r="O41" s="282">
        <f xml:space="preserve"> FinStat!O$23</f>
        <v>5432008</v>
      </c>
      <c r="P41" s="282">
        <f xml:space="preserve"> FinStat!P$23</f>
        <v>7509411.6387722213</v>
      </c>
      <c r="Q41" s="282">
        <f xml:space="preserve"> FinStat!Q$23</f>
        <v>8813631.2981236074</v>
      </c>
      <c r="R41" s="282">
        <f xml:space="preserve"> FinStat!R$23</f>
        <v>10518836.389195928</v>
      </c>
      <c r="S41" s="282">
        <f xml:space="preserve"> FinStat!S$23</f>
        <v>12466821.989977628</v>
      </c>
      <c r="T41" s="282">
        <f xml:space="preserve"> FinStat!T$23</f>
        <v>14669673.059468159</v>
      </c>
      <c r="U41" s="282">
        <f xml:space="preserve"> FinStat!U$23</f>
        <v>17668541.832581043</v>
      </c>
      <c r="V41" s="282">
        <f xml:space="preserve"> FinStat!V$23</f>
        <v>0</v>
      </c>
      <c r="W41" s="282">
        <f xml:space="preserve"> FinStat!W$23</f>
        <v>0</v>
      </c>
    </row>
    <row r="42" spans="1:79">
      <c r="E42" s="58" t="s">
        <v>339</v>
      </c>
      <c r="G42" s="58" t="str">
        <f>smu</f>
        <v>Kes '000'</v>
      </c>
      <c r="H42" s="58">
        <f xml:space="preserve"> SUM(J42:W42)</f>
        <v>21494074.862435576</v>
      </c>
      <c r="J42" s="58">
        <f>J40*J41</f>
        <v>0</v>
      </c>
      <c r="K42" s="58">
        <f t="shared" ref="K42:O42" si="19">K40*K41</f>
        <v>0</v>
      </c>
      <c r="L42" s="58">
        <f t="shared" si="19"/>
        <v>0</v>
      </c>
      <c r="M42" s="58">
        <f t="shared" si="19"/>
        <v>0</v>
      </c>
      <c r="N42" s="58">
        <f t="shared" si="19"/>
        <v>0</v>
      </c>
      <c r="O42" s="58">
        <f t="shared" si="19"/>
        <v>0</v>
      </c>
      <c r="P42" s="58">
        <f>P40*P41</f>
        <v>2252823.4916316662</v>
      </c>
      <c r="Q42" s="58">
        <f t="shared" ref="Q42:W42" si="20">Q40*Q41</f>
        <v>2644089.3894370822</v>
      </c>
      <c r="R42" s="58">
        <f t="shared" si="20"/>
        <v>3155650.9167587785</v>
      </c>
      <c r="S42" s="58">
        <f t="shared" si="20"/>
        <v>3740046.5969932885</v>
      </c>
      <c r="T42" s="58">
        <f t="shared" si="20"/>
        <v>4400901.9178404473</v>
      </c>
      <c r="U42" s="58">
        <f t="shared" si="20"/>
        <v>5300562.5497743124</v>
      </c>
      <c r="V42" s="58">
        <f t="shared" si="20"/>
        <v>0</v>
      </c>
      <c r="W42" s="58">
        <f t="shared" si="20"/>
        <v>0</v>
      </c>
    </row>
    <row r="43" spans="1:79" s="141" customFormat="1">
      <c r="A43" s="138"/>
      <c r="B43" s="130"/>
      <c r="C43" s="139"/>
      <c r="D43" s="140"/>
      <c r="E43" s="141" t="str">
        <f xml:space="preserve"> LEFT(E42, LEN(E42) - 4)</f>
        <v>Forecast Tax paid</v>
      </c>
      <c r="F43" s="141" t="s">
        <v>295</v>
      </c>
      <c r="G43" s="141" t="str">
        <f xml:space="preserve"> G42</f>
        <v>Kes '000'</v>
      </c>
      <c r="H43" s="141">
        <f>SUM(J43:CA43)</f>
        <v>-21494074.862435576</v>
      </c>
      <c r="J43" s="141">
        <f t="shared" ref="J43:BU43" si="21" xml:space="preserve"> -1 * J42</f>
        <v>0</v>
      </c>
      <c r="K43" s="141">
        <f t="shared" si="21"/>
        <v>0</v>
      </c>
      <c r="L43" s="141">
        <f t="shared" si="21"/>
        <v>0</v>
      </c>
      <c r="M43" s="141">
        <f t="shared" si="21"/>
        <v>0</v>
      </c>
      <c r="N43" s="141">
        <f t="shared" si="21"/>
        <v>0</v>
      </c>
      <c r="O43" s="141">
        <f t="shared" si="21"/>
        <v>0</v>
      </c>
      <c r="P43" s="141">
        <f t="shared" si="21"/>
        <v>-2252823.4916316662</v>
      </c>
      <c r="Q43" s="141">
        <f t="shared" si="21"/>
        <v>-2644089.3894370822</v>
      </c>
      <c r="R43" s="141">
        <f t="shared" si="21"/>
        <v>-3155650.9167587785</v>
      </c>
      <c r="S43" s="141">
        <f t="shared" si="21"/>
        <v>-3740046.5969932885</v>
      </c>
      <c r="T43" s="141">
        <f t="shared" si="21"/>
        <v>-4400901.9178404473</v>
      </c>
      <c r="U43" s="141">
        <f t="shared" si="21"/>
        <v>-5300562.5497743124</v>
      </c>
      <c r="V43" s="141">
        <f t="shared" si="21"/>
        <v>0</v>
      </c>
      <c r="W43" s="141">
        <f t="shared" si="21"/>
        <v>0</v>
      </c>
      <c r="X43" s="141">
        <f t="shared" si="21"/>
        <v>0</v>
      </c>
      <c r="Y43" s="141">
        <f t="shared" si="21"/>
        <v>0</v>
      </c>
      <c r="Z43" s="141">
        <f t="shared" si="21"/>
        <v>0</v>
      </c>
      <c r="AA43" s="141">
        <f t="shared" si="21"/>
        <v>0</v>
      </c>
      <c r="AB43" s="141">
        <f t="shared" si="21"/>
        <v>0</v>
      </c>
      <c r="AC43" s="141">
        <f t="shared" si="21"/>
        <v>0</v>
      </c>
      <c r="AD43" s="141">
        <f t="shared" si="21"/>
        <v>0</v>
      </c>
      <c r="AE43" s="141">
        <f t="shared" si="21"/>
        <v>0</v>
      </c>
      <c r="AF43" s="141">
        <f t="shared" si="21"/>
        <v>0</v>
      </c>
      <c r="AG43" s="141">
        <f t="shared" si="21"/>
        <v>0</v>
      </c>
      <c r="AH43" s="141">
        <f t="shared" si="21"/>
        <v>0</v>
      </c>
      <c r="AI43" s="141">
        <f t="shared" si="21"/>
        <v>0</v>
      </c>
      <c r="AJ43" s="141">
        <f t="shared" si="21"/>
        <v>0</v>
      </c>
      <c r="AK43" s="141">
        <f t="shared" si="21"/>
        <v>0</v>
      </c>
      <c r="AL43" s="141">
        <f t="shared" si="21"/>
        <v>0</v>
      </c>
      <c r="AM43" s="141">
        <f t="shared" si="21"/>
        <v>0</v>
      </c>
      <c r="AN43" s="141">
        <f t="shared" si="21"/>
        <v>0</v>
      </c>
      <c r="AO43" s="141">
        <f t="shared" si="21"/>
        <v>0</v>
      </c>
      <c r="AP43" s="141">
        <f t="shared" si="21"/>
        <v>0</v>
      </c>
      <c r="AQ43" s="141">
        <f t="shared" si="21"/>
        <v>0</v>
      </c>
      <c r="AR43" s="141">
        <f t="shared" si="21"/>
        <v>0</v>
      </c>
      <c r="AS43" s="141">
        <f t="shared" si="21"/>
        <v>0</v>
      </c>
      <c r="AT43" s="141">
        <f t="shared" si="21"/>
        <v>0</v>
      </c>
      <c r="AU43" s="141">
        <f t="shared" si="21"/>
        <v>0</v>
      </c>
      <c r="AV43" s="141">
        <f t="shared" si="21"/>
        <v>0</v>
      </c>
      <c r="AW43" s="141">
        <f t="shared" si="21"/>
        <v>0</v>
      </c>
      <c r="AX43" s="141">
        <f t="shared" si="21"/>
        <v>0</v>
      </c>
      <c r="AY43" s="141">
        <f t="shared" si="21"/>
        <v>0</v>
      </c>
      <c r="AZ43" s="141">
        <f t="shared" si="21"/>
        <v>0</v>
      </c>
      <c r="BA43" s="141">
        <f t="shared" si="21"/>
        <v>0</v>
      </c>
      <c r="BB43" s="141">
        <f t="shared" si="21"/>
        <v>0</v>
      </c>
      <c r="BC43" s="141">
        <f t="shared" si="21"/>
        <v>0</v>
      </c>
      <c r="BD43" s="141">
        <f t="shared" si="21"/>
        <v>0</v>
      </c>
      <c r="BE43" s="141">
        <f t="shared" si="21"/>
        <v>0</v>
      </c>
      <c r="BF43" s="141">
        <f t="shared" si="21"/>
        <v>0</v>
      </c>
      <c r="BG43" s="141">
        <f t="shared" si="21"/>
        <v>0</v>
      </c>
      <c r="BH43" s="141">
        <f t="shared" si="21"/>
        <v>0</v>
      </c>
      <c r="BI43" s="141">
        <f t="shared" si="21"/>
        <v>0</v>
      </c>
      <c r="BJ43" s="141">
        <f t="shared" si="21"/>
        <v>0</v>
      </c>
      <c r="BK43" s="141">
        <f t="shared" si="21"/>
        <v>0</v>
      </c>
      <c r="BL43" s="141">
        <f t="shared" si="21"/>
        <v>0</v>
      </c>
      <c r="BM43" s="141">
        <f t="shared" si="21"/>
        <v>0</v>
      </c>
      <c r="BN43" s="141">
        <f t="shared" si="21"/>
        <v>0</v>
      </c>
      <c r="BO43" s="141">
        <f t="shared" si="21"/>
        <v>0</v>
      </c>
      <c r="BP43" s="141">
        <f t="shared" si="21"/>
        <v>0</v>
      </c>
      <c r="BQ43" s="141">
        <f t="shared" si="21"/>
        <v>0</v>
      </c>
      <c r="BR43" s="141">
        <f t="shared" si="21"/>
        <v>0</v>
      </c>
      <c r="BS43" s="141">
        <f t="shared" si="21"/>
        <v>0</v>
      </c>
      <c r="BT43" s="141">
        <f t="shared" si="21"/>
        <v>0</v>
      </c>
      <c r="BU43" s="141">
        <f t="shared" si="21"/>
        <v>0</v>
      </c>
      <c r="BV43" s="141">
        <f t="shared" ref="BV43:CA43" si="22" xml:space="preserve"> -1 * BV42</f>
        <v>0</v>
      </c>
      <c r="BW43" s="141">
        <f t="shared" si="22"/>
        <v>0</v>
      </c>
      <c r="BX43" s="141">
        <f t="shared" si="22"/>
        <v>0</v>
      </c>
      <c r="BY43" s="141">
        <f t="shared" si="22"/>
        <v>0</v>
      </c>
      <c r="BZ43" s="141">
        <f t="shared" si="22"/>
        <v>0</v>
      </c>
      <c r="CA43" s="141">
        <f t="shared" si="22"/>
        <v>0</v>
      </c>
    </row>
    <row r="45" spans="1:79">
      <c r="A45" s="10" t="s">
        <v>340</v>
      </c>
    </row>
    <row r="47" spans="1:79" s="66" customFormat="1">
      <c r="A47" s="55"/>
      <c r="B47" s="55"/>
      <c r="C47" s="56"/>
      <c r="D47" s="63"/>
      <c r="E47" s="355" t="str">
        <f xml:space="preserve"> InpC!E$49</f>
        <v>Deferred Tax Liability - Initial balance</v>
      </c>
      <c r="F47" s="355">
        <f xml:space="preserve"> InpC!F$49</f>
        <v>1584155</v>
      </c>
      <c r="G47" s="355" t="str">
        <f xml:space="preserve"> InpC!G$49</f>
        <v>Kes '000'</v>
      </c>
    </row>
    <row r="48" spans="1:79" s="15" customFormat="1">
      <c r="A48" s="35"/>
      <c r="B48" s="35"/>
      <c r="C48" s="36"/>
      <c r="D48" s="69"/>
      <c r="E48" s="15" t="str">
        <f>Time!E$33</f>
        <v>Acquisition / initial balance date flag</v>
      </c>
      <c r="F48" s="15">
        <f>Time!F$33</f>
        <v>0</v>
      </c>
      <c r="G48" s="15" t="str">
        <f>Time!G$33</f>
        <v>flag</v>
      </c>
      <c r="H48" s="15">
        <f>Time!H$33</f>
        <v>1</v>
      </c>
      <c r="I48" s="15">
        <f>Time!I$33</f>
        <v>0</v>
      </c>
      <c r="J48" s="15">
        <f>Time!J$33</f>
        <v>0</v>
      </c>
      <c r="K48" s="15">
        <f>Time!K$33</f>
        <v>0</v>
      </c>
      <c r="L48" s="15">
        <f>Time!L$33</f>
        <v>0</v>
      </c>
      <c r="M48" s="15">
        <f>Time!M$33</f>
        <v>0</v>
      </c>
      <c r="N48" s="15">
        <f>Time!N$33</f>
        <v>0</v>
      </c>
      <c r="O48" s="15">
        <f>Time!O$33</f>
        <v>1</v>
      </c>
      <c r="P48" s="15">
        <f>Time!P$33</f>
        <v>0</v>
      </c>
      <c r="Q48" s="15">
        <f>Time!Q$33</f>
        <v>0</v>
      </c>
      <c r="R48" s="15">
        <f>Time!R$33</f>
        <v>0</v>
      </c>
      <c r="S48" s="15">
        <f>Time!S$33</f>
        <v>0</v>
      </c>
      <c r="T48" s="15">
        <f>Time!T$33</f>
        <v>0</v>
      </c>
      <c r="U48" s="15">
        <f>Time!U$33</f>
        <v>0</v>
      </c>
      <c r="V48" s="15">
        <f>Time!V$33</f>
        <v>0</v>
      </c>
      <c r="W48" s="15">
        <f>Time!W$33</f>
        <v>0</v>
      </c>
      <c r="X48" s="15">
        <f>Time!X$33</f>
        <v>0</v>
      </c>
      <c r="Y48" s="15">
        <f>Time!Y$33</f>
        <v>0</v>
      </c>
      <c r="Z48" s="15">
        <f>Time!Z$33</f>
        <v>0</v>
      </c>
      <c r="AA48" s="15">
        <f>Time!AA$33</f>
        <v>0</v>
      </c>
      <c r="AB48" s="15">
        <f>Time!AB$33</f>
        <v>0</v>
      </c>
      <c r="AC48" s="15">
        <f>Time!AC$33</f>
        <v>0</v>
      </c>
      <c r="AD48" s="15">
        <f>Time!AD$33</f>
        <v>0</v>
      </c>
      <c r="AE48" s="15">
        <f>Time!AE$33</f>
        <v>0</v>
      </c>
      <c r="AF48" s="15">
        <f>Time!AF$33</f>
        <v>0</v>
      </c>
      <c r="AG48" s="15">
        <f>Time!AG$33</f>
        <v>0</v>
      </c>
      <c r="AH48" s="15">
        <f>Time!AH$33</f>
        <v>0</v>
      </c>
      <c r="AI48" s="15">
        <f>Time!AI$33</f>
        <v>0</v>
      </c>
      <c r="AJ48" s="15">
        <f>Time!AJ$33</f>
        <v>0</v>
      </c>
      <c r="AK48" s="15">
        <f>Time!AK$33</f>
        <v>0</v>
      </c>
      <c r="AL48" s="15">
        <f>Time!AL$33</f>
        <v>0</v>
      </c>
      <c r="AM48" s="15">
        <f>Time!AM$33</f>
        <v>0</v>
      </c>
      <c r="AN48" s="15">
        <f>Time!AN$33</f>
        <v>0</v>
      </c>
      <c r="AO48" s="15">
        <f>Time!AO$33</f>
        <v>0</v>
      </c>
      <c r="AP48" s="15">
        <f>Time!AP$33</f>
        <v>0</v>
      </c>
      <c r="AQ48" s="15">
        <f>Time!AQ$33</f>
        <v>0</v>
      </c>
      <c r="AR48" s="15">
        <f>Time!AR$33</f>
        <v>0</v>
      </c>
      <c r="AS48" s="15">
        <f>Time!AS$33</f>
        <v>0</v>
      </c>
      <c r="AT48" s="15">
        <f>Time!AT$33</f>
        <v>0</v>
      </c>
      <c r="AU48" s="15">
        <f>Time!AU$33</f>
        <v>0</v>
      </c>
      <c r="AV48" s="15">
        <f>Time!AV$33</f>
        <v>0</v>
      </c>
      <c r="AW48" s="15">
        <f>Time!AW$33</f>
        <v>0</v>
      </c>
      <c r="AX48" s="15">
        <f>Time!AX$33</f>
        <v>0</v>
      </c>
      <c r="AY48" s="15">
        <f>Time!AY$33</f>
        <v>0</v>
      </c>
      <c r="AZ48" s="15">
        <f>Time!AZ$33</f>
        <v>0</v>
      </c>
      <c r="BA48" s="15">
        <f>Time!BA$33</f>
        <v>0</v>
      </c>
      <c r="BB48" s="15">
        <f>Time!BB$33</f>
        <v>0</v>
      </c>
      <c r="BC48" s="15">
        <f>Time!BC$33</f>
        <v>0</v>
      </c>
      <c r="BD48" s="15">
        <f>Time!BD$33</f>
        <v>0</v>
      </c>
      <c r="BE48" s="15">
        <f>Time!BE$33</f>
        <v>0</v>
      </c>
      <c r="BF48" s="15">
        <f>Time!BF$33</f>
        <v>0</v>
      </c>
      <c r="BG48" s="15">
        <f>Time!BG$33</f>
        <v>0</v>
      </c>
      <c r="BH48" s="15">
        <f>Time!BH$33</f>
        <v>0</v>
      </c>
      <c r="BI48" s="15">
        <f>Time!BI$33</f>
        <v>0</v>
      </c>
      <c r="BJ48" s="15">
        <f>Time!BJ$33</f>
        <v>0</v>
      </c>
      <c r="BK48" s="15">
        <f>Time!BK$33</f>
        <v>0</v>
      </c>
      <c r="BL48" s="15">
        <f>Time!BL$33</f>
        <v>0</v>
      </c>
      <c r="BM48" s="15">
        <f>Time!BM$33</f>
        <v>0</v>
      </c>
      <c r="BN48" s="15">
        <f>Time!BN$33</f>
        <v>0</v>
      </c>
      <c r="BO48" s="15">
        <f>Time!BO$33</f>
        <v>0</v>
      </c>
      <c r="BP48" s="15">
        <f>Time!BP$33</f>
        <v>0</v>
      </c>
      <c r="BQ48" s="15">
        <f>Time!BQ$33</f>
        <v>0</v>
      </c>
      <c r="BR48" s="15">
        <f>Time!BR$33</f>
        <v>0</v>
      </c>
      <c r="BS48" s="15">
        <f>Time!BS$33</f>
        <v>0</v>
      </c>
      <c r="BT48" s="15">
        <f>Time!BT$33</f>
        <v>0</v>
      </c>
      <c r="BU48" s="15">
        <f>Time!BU$33</f>
        <v>0</v>
      </c>
      <c r="BV48" s="15">
        <f>Time!BV$33</f>
        <v>0</v>
      </c>
      <c r="BW48" s="15">
        <f>Time!BW$33</f>
        <v>0</v>
      </c>
      <c r="BX48" s="15">
        <f>Time!BX$33</f>
        <v>0</v>
      </c>
      <c r="BY48" s="15">
        <f>Time!BY$33</f>
        <v>0</v>
      </c>
    </row>
    <row r="49" spans="1:77" s="57" customFormat="1">
      <c r="A49" s="8"/>
      <c r="B49" s="8"/>
      <c r="C49" s="9"/>
      <c r="D49" s="62"/>
    </row>
    <row r="50" spans="1:77" s="59" customFormat="1">
      <c r="A50" s="84"/>
      <c r="B50" s="84"/>
      <c r="C50" s="85"/>
      <c r="D50" s="356"/>
      <c r="E50" s="59" t="s">
        <v>342</v>
      </c>
      <c r="G50" s="59" t="str">
        <f>smu</f>
        <v>Kes '000'</v>
      </c>
      <c r="J50" s="59">
        <f t="shared" ref="J50:BU50" si="23" xml:space="preserve"> I53</f>
        <v>0</v>
      </c>
      <c r="K50" s="59">
        <f t="shared" si="23"/>
        <v>0</v>
      </c>
      <c r="L50" s="59">
        <f t="shared" si="23"/>
        <v>0</v>
      </c>
      <c r="M50" s="59">
        <f t="shared" si="23"/>
        <v>0</v>
      </c>
      <c r="N50" s="59">
        <f t="shared" si="23"/>
        <v>0</v>
      </c>
      <c r="O50" s="59">
        <f t="shared" si="23"/>
        <v>0</v>
      </c>
      <c r="P50" s="59">
        <f t="shared" si="23"/>
        <v>1584155</v>
      </c>
      <c r="Q50" s="59">
        <f t="shared" si="23"/>
        <v>1689286.7629428115</v>
      </c>
      <c r="R50" s="59">
        <f t="shared" si="23"/>
        <v>1812677.6011165418</v>
      </c>
      <c r="S50" s="59">
        <f t="shared" si="23"/>
        <v>1959941.3105652845</v>
      </c>
      <c r="T50" s="59">
        <f t="shared" si="23"/>
        <v>2134476.8184249713</v>
      </c>
      <c r="U50" s="59">
        <f t="shared" si="23"/>
        <v>2339852.241257526</v>
      </c>
      <c r="V50" s="59">
        <f t="shared" si="23"/>
        <v>2587211.8269136613</v>
      </c>
      <c r="W50" s="59">
        <f t="shared" si="23"/>
        <v>2587211.8269136613</v>
      </c>
      <c r="X50" s="59">
        <f t="shared" si="23"/>
        <v>2587211.8269136613</v>
      </c>
      <c r="Y50" s="59">
        <f t="shared" si="23"/>
        <v>2587211.8269136613</v>
      </c>
      <c r="Z50" s="59">
        <f t="shared" si="23"/>
        <v>2587211.8269136613</v>
      </c>
      <c r="AA50" s="59">
        <f t="shared" si="23"/>
        <v>2587211.8269136613</v>
      </c>
      <c r="AB50" s="59">
        <f t="shared" si="23"/>
        <v>2587211.8269136613</v>
      </c>
      <c r="AC50" s="59">
        <f t="shared" si="23"/>
        <v>2587211.8269136613</v>
      </c>
      <c r="AD50" s="59">
        <f t="shared" si="23"/>
        <v>2587211.8269136613</v>
      </c>
      <c r="AE50" s="59">
        <f t="shared" si="23"/>
        <v>2587211.8269136613</v>
      </c>
      <c r="AF50" s="59">
        <f t="shared" si="23"/>
        <v>2587211.8269136613</v>
      </c>
      <c r="AG50" s="59">
        <f t="shared" si="23"/>
        <v>2587211.8269136613</v>
      </c>
      <c r="AH50" s="59">
        <f t="shared" si="23"/>
        <v>2587211.8269136613</v>
      </c>
      <c r="AI50" s="59">
        <f t="shared" si="23"/>
        <v>2587211.8269136613</v>
      </c>
      <c r="AJ50" s="59">
        <f t="shared" si="23"/>
        <v>2587211.8269136613</v>
      </c>
      <c r="AK50" s="59">
        <f t="shared" si="23"/>
        <v>2587211.8269136613</v>
      </c>
      <c r="AL50" s="59">
        <f t="shared" si="23"/>
        <v>2587211.8269136613</v>
      </c>
      <c r="AM50" s="59">
        <f t="shared" si="23"/>
        <v>2587211.8269136613</v>
      </c>
      <c r="AN50" s="59">
        <f t="shared" si="23"/>
        <v>2587211.8269136613</v>
      </c>
      <c r="AO50" s="59">
        <f t="shared" si="23"/>
        <v>2587211.8269136613</v>
      </c>
      <c r="AP50" s="59">
        <f t="shared" si="23"/>
        <v>2587211.8269136613</v>
      </c>
      <c r="AQ50" s="59">
        <f t="shared" si="23"/>
        <v>2587211.8269136613</v>
      </c>
      <c r="AR50" s="59">
        <f t="shared" si="23"/>
        <v>2587211.8269136613</v>
      </c>
      <c r="AS50" s="59">
        <f t="shared" si="23"/>
        <v>2587211.8269136613</v>
      </c>
      <c r="AT50" s="59">
        <f t="shared" si="23"/>
        <v>2587211.8269136613</v>
      </c>
      <c r="AU50" s="59">
        <f t="shared" si="23"/>
        <v>2587211.8269136613</v>
      </c>
      <c r="AV50" s="59">
        <f t="shared" si="23"/>
        <v>2587211.8269136613</v>
      </c>
      <c r="AW50" s="59">
        <f t="shared" si="23"/>
        <v>2587211.8269136613</v>
      </c>
      <c r="AX50" s="59">
        <f t="shared" si="23"/>
        <v>2587211.8269136613</v>
      </c>
      <c r="AY50" s="59">
        <f t="shared" si="23"/>
        <v>2587211.8269136613</v>
      </c>
      <c r="AZ50" s="59">
        <f t="shared" si="23"/>
        <v>2587211.8269136613</v>
      </c>
      <c r="BA50" s="59">
        <f t="shared" si="23"/>
        <v>2587211.8269136613</v>
      </c>
      <c r="BB50" s="59">
        <f t="shared" si="23"/>
        <v>2587211.8269136613</v>
      </c>
      <c r="BC50" s="59">
        <f t="shared" si="23"/>
        <v>2587211.8269136613</v>
      </c>
      <c r="BD50" s="59">
        <f t="shared" si="23"/>
        <v>2587211.8269136613</v>
      </c>
      <c r="BE50" s="59">
        <f t="shared" si="23"/>
        <v>2587211.8269136613</v>
      </c>
      <c r="BF50" s="59">
        <f t="shared" si="23"/>
        <v>2587211.8269136613</v>
      </c>
      <c r="BG50" s="59">
        <f t="shared" si="23"/>
        <v>2587211.8269136613</v>
      </c>
      <c r="BH50" s="59">
        <f t="shared" si="23"/>
        <v>2587211.8269136613</v>
      </c>
      <c r="BI50" s="59">
        <f t="shared" si="23"/>
        <v>2587211.8269136613</v>
      </c>
      <c r="BJ50" s="59">
        <f t="shared" si="23"/>
        <v>2587211.8269136613</v>
      </c>
      <c r="BK50" s="59">
        <f t="shared" si="23"/>
        <v>2587211.8269136613</v>
      </c>
      <c r="BL50" s="59">
        <f t="shared" si="23"/>
        <v>2587211.8269136613</v>
      </c>
      <c r="BM50" s="59">
        <f t="shared" si="23"/>
        <v>2587211.8269136613</v>
      </c>
      <c r="BN50" s="59">
        <f t="shared" si="23"/>
        <v>2587211.8269136613</v>
      </c>
      <c r="BO50" s="59">
        <f t="shared" si="23"/>
        <v>2587211.8269136613</v>
      </c>
      <c r="BP50" s="59">
        <f t="shared" si="23"/>
        <v>2587211.8269136613</v>
      </c>
      <c r="BQ50" s="59">
        <f t="shared" si="23"/>
        <v>2587211.8269136613</v>
      </c>
      <c r="BR50" s="59">
        <f t="shared" si="23"/>
        <v>2587211.8269136613</v>
      </c>
      <c r="BS50" s="59">
        <f t="shared" si="23"/>
        <v>2587211.8269136613</v>
      </c>
      <c r="BT50" s="59">
        <f t="shared" si="23"/>
        <v>2587211.8269136613</v>
      </c>
      <c r="BU50" s="59">
        <f t="shared" si="23"/>
        <v>2587211.8269136613</v>
      </c>
      <c r="BV50" s="59">
        <f xml:space="preserve"> BU53</f>
        <v>2587211.8269136613</v>
      </c>
      <c r="BW50" s="59">
        <f xml:space="preserve"> BV53</f>
        <v>2587211.8269136613</v>
      </c>
      <c r="BX50" s="59">
        <f xml:space="preserve"> BW53</f>
        <v>2587211.8269136613</v>
      </c>
      <c r="BY50" s="59">
        <f xml:space="preserve"> BX53</f>
        <v>2587211.8269136613</v>
      </c>
    </row>
    <row r="51" spans="1:77" s="67" customFormat="1">
      <c r="A51" s="84"/>
      <c r="B51" s="84"/>
      <c r="C51" s="85"/>
      <c r="D51" s="356" t="s">
        <v>35</v>
      </c>
      <c r="E51" s="89" t="str">
        <f xml:space="preserve"> E$23</f>
        <v>Forecast Tax expense POS</v>
      </c>
      <c r="F51" s="89">
        <f t="shared" ref="F51:W51" si="24" xml:space="preserve"> F$23</f>
        <v>0</v>
      </c>
      <c r="G51" s="89" t="str">
        <f t="shared" si="24"/>
        <v>Kes '000'</v>
      </c>
      <c r="H51" s="89">
        <f t="shared" si="24"/>
        <v>22497131.689349238</v>
      </c>
      <c r="I51" s="89">
        <f t="shared" si="24"/>
        <v>0</v>
      </c>
      <c r="J51" s="89">
        <f t="shared" si="24"/>
        <v>0</v>
      </c>
      <c r="K51" s="89">
        <f t="shared" si="24"/>
        <v>0</v>
      </c>
      <c r="L51" s="89">
        <f t="shared" si="24"/>
        <v>0</v>
      </c>
      <c r="M51" s="89">
        <f t="shared" si="24"/>
        <v>0</v>
      </c>
      <c r="N51" s="89">
        <f t="shared" si="24"/>
        <v>0</v>
      </c>
      <c r="O51" s="89">
        <f t="shared" si="24"/>
        <v>0</v>
      </c>
      <c r="P51" s="89">
        <f t="shared" si="24"/>
        <v>2357955.2545744777</v>
      </c>
      <c r="Q51" s="89">
        <f t="shared" si="24"/>
        <v>2767480.2276108125</v>
      </c>
      <c r="R51" s="89">
        <f t="shared" si="24"/>
        <v>3302914.6262075217</v>
      </c>
      <c r="S51" s="89">
        <f t="shared" si="24"/>
        <v>3914582.1048529753</v>
      </c>
      <c r="T51" s="89">
        <f t="shared" si="24"/>
        <v>4606277.3406730024</v>
      </c>
      <c r="U51" s="89">
        <f t="shared" si="24"/>
        <v>5547922.1354304478</v>
      </c>
      <c r="V51" s="89">
        <f t="shared" si="24"/>
        <v>0</v>
      </c>
      <c r="W51" s="89">
        <f t="shared" si="24"/>
        <v>0</v>
      </c>
    </row>
    <row r="52" spans="1:77" s="59" customFormat="1">
      <c r="A52" s="84"/>
      <c r="B52" s="84"/>
      <c r="C52" s="85"/>
      <c r="D52" s="356" t="s">
        <v>36</v>
      </c>
      <c r="E52" s="89" t="str">
        <f xml:space="preserve"> E$42</f>
        <v>Forecast Tax paid POS</v>
      </c>
      <c r="F52" s="89">
        <f t="shared" ref="F52:W52" si="25" xml:space="preserve"> F$42</f>
        <v>0</v>
      </c>
      <c r="G52" s="89" t="str">
        <f t="shared" si="25"/>
        <v>Kes '000'</v>
      </c>
      <c r="H52" s="89">
        <f t="shared" si="25"/>
        <v>21494074.862435576</v>
      </c>
      <c r="I52" s="89">
        <f t="shared" si="25"/>
        <v>0</v>
      </c>
      <c r="J52" s="89">
        <f t="shared" si="25"/>
        <v>0</v>
      </c>
      <c r="K52" s="89">
        <f t="shared" si="25"/>
        <v>0</v>
      </c>
      <c r="L52" s="89">
        <f t="shared" si="25"/>
        <v>0</v>
      </c>
      <c r="M52" s="89">
        <f t="shared" si="25"/>
        <v>0</v>
      </c>
      <c r="N52" s="89">
        <f t="shared" si="25"/>
        <v>0</v>
      </c>
      <c r="O52" s="89">
        <f t="shared" si="25"/>
        <v>0</v>
      </c>
      <c r="P52" s="89">
        <f t="shared" si="25"/>
        <v>2252823.4916316662</v>
      </c>
      <c r="Q52" s="89">
        <f t="shared" si="25"/>
        <v>2644089.3894370822</v>
      </c>
      <c r="R52" s="89">
        <f t="shared" si="25"/>
        <v>3155650.9167587785</v>
      </c>
      <c r="S52" s="89">
        <f t="shared" si="25"/>
        <v>3740046.5969932885</v>
      </c>
      <c r="T52" s="89">
        <f t="shared" si="25"/>
        <v>4400901.9178404473</v>
      </c>
      <c r="U52" s="89">
        <f t="shared" si="25"/>
        <v>5300562.5497743124</v>
      </c>
      <c r="V52" s="89">
        <f t="shared" si="25"/>
        <v>0</v>
      </c>
      <c r="W52" s="89">
        <f t="shared" si="25"/>
        <v>0</v>
      </c>
    </row>
    <row r="53" spans="1:77" s="113" customFormat="1">
      <c r="A53" s="109"/>
      <c r="B53" s="109"/>
      <c r="C53" s="110"/>
      <c r="D53" s="111"/>
      <c r="E53" s="114" t="s">
        <v>343</v>
      </c>
      <c r="G53" s="114"/>
      <c r="I53" s="115"/>
      <c r="J53" s="113">
        <f xml:space="preserve"> IF(J48 = 1, $F47, J50 + J51 - J52)</f>
        <v>0</v>
      </c>
      <c r="K53" s="113">
        <f t="shared" ref="K53:BV53" si="26" xml:space="preserve"> IF(K48 = 1, $F47, K50 + K51 - K52)</f>
        <v>0</v>
      </c>
      <c r="L53" s="113">
        <f t="shared" si="26"/>
        <v>0</v>
      </c>
      <c r="M53" s="113">
        <f t="shared" si="26"/>
        <v>0</v>
      </c>
      <c r="N53" s="113">
        <f t="shared" si="26"/>
        <v>0</v>
      </c>
      <c r="O53" s="113">
        <f t="shared" si="26"/>
        <v>1584155</v>
      </c>
      <c r="P53" s="113">
        <f t="shared" si="26"/>
        <v>1689286.7629428115</v>
      </c>
      <c r="Q53" s="113">
        <f t="shared" si="26"/>
        <v>1812677.6011165418</v>
      </c>
      <c r="R53" s="113">
        <f t="shared" si="26"/>
        <v>1959941.3105652845</v>
      </c>
      <c r="S53" s="113">
        <f t="shared" si="26"/>
        <v>2134476.8184249713</v>
      </c>
      <c r="T53" s="113">
        <f t="shared" si="26"/>
        <v>2339852.241257526</v>
      </c>
      <c r="U53" s="113">
        <f t="shared" si="26"/>
        <v>2587211.8269136613</v>
      </c>
      <c r="V53" s="113">
        <f t="shared" si="26"/>
        <v>2587211.8269136613</v>
      </c>
      <c r="W53" s="113">
        <f t="shared" si="26"/>
        <v>2587211.8269136613</v>
      </c>
      <c r="X53" s="113">
        <f t="shared" si="26"/>
        <v>2587211.8269136613</v>
      </c>
      <c r="Y53" s="113">
        <f t="shared" si="26"/>
        <v>2587211.8269136613</v>
      </c>
      <c r="Z53" s="113">
        <f t="shared" si="26"/>
        <v>2587211.8269136613</v>
      </c>
      <c r="AA53" s="113">
        <f t="shared" si="26"/>
        <v>2587211.8269136613</v>
      </c>
      <c r="AB53" s="113">
        <f t="shared" si="26"/>
        <v>2587211.8269136613</v>
      </c>
      <c r="AC53" s="113">
        <f t="shared" si="26"/>
        <v>2587211.8269136613</v>
      </c>
      <c r="AD53" s="113">
        <f t="shared" si="26"/>
        <v>2587211.8269136613</v>
      </c>
      <c r="AE53" s="113">
        <f t="shared" si="26"/>
        <v>2587211.8269136613</v>
      </c>
      <c r="AF53" s="113">
        <f t="shared" si="26"/>
        <v>2587211.8269136613</v>
      </c>
      <c r="AG53" s="113">
        <f t="shared" si="26"/>
        <v>2587211.8269136613</v>
      </c>
      <c r="AH53" s="113">
        <f t="shared" si="26"/>
        <v>2587211.8269136613</v>
      </c>
      <c r="AI53" s="113">
        <f t="shared" si="26"/>
        <v>2587211.8269136613</v>
      </c>
      <c r="AJ53" s="113">
        <f t="shared" si="26"/>
        <v>2587211.8269136613</v>
      </c>
      <c r="AK53" s="113">
        <f t="shared" si="26"/>
        <v>2587211.8269136613</v>
      </c>
      <c r="AL53" s="113">
        <f t="shared" si="26"/>
        <v>2587211.8269136613</v>
      </c>
      <c r="AM53" s="113">
        <f t="shared" si="26"/>
        <v>2587211.8269136613</v>
      </c>
      <c r="AN53" s="113">
        <f t="shared" si="26"/>
        <v>2587211.8269136613</v>
      </c>
      <c r="AO53" s="113">
        <f t="shared" si="26"/>
        <v>2587211.8269136613</v>
      </c>
      <c r="AP53" s="113">
        <f t="shared" si="26"/>
        <v>2587211.8269136613</v>
      </c>
      <c r="AQ53" s="113">
        <f t="shared" si="26"/>
        <v>2587211.8269136613</v>
      </c>
      <c r="AR53" s="113">
        <f t="shared" si="26"/>
        <v>2587211.8269136613</v>
      </c>
      <c r="AS53" s="113">
        <f t="shared" si="26"/>
        <v>2587211.8269136613</v>
      </c>
      <c r="AT53" s="113">
        <f t="shared" si="26"/>
        <v>2587211.8269136613</v>
      </c>
      <c r="AU53" s="113">
        <f t="shared" si="26"/>
        <v>2587211.8269136613</v>
      </c>
      <c r="AV53" s="113">
        <f t="shared" si="26"/>
        <v>2587211.8269136613</v>
      </c>
      <c r="AW53" s="113">
        <f t="shared" si="26"/>
        <v>2587211.8269136613</v>
      </c>
      <c r="AX53" s="113">
        <f t="shared" si="26"/>
        <v>2587211.8269136613</v>
      </c>
      <c r="AY53" s="113">
        <f t="shared" si="26"/>
        <v>2587211.8269136613</v>
      </c>
      <c r="AZ53" s="113">
        <f t="shared" si="26"/>
        <v>2587211.8269136613</v>
      </c>
      <c r="BA53" s="113">
        <f t="shared" si="26"/>
        <v>2587211.8269136613</v>
      </c>
      <c r="BB53" s="113">
        <f t="shared" si="26"/>
        <v>2587211.8269136613</v>
      </c>
      <c r="BC53" s="113">
        <f t="shared" si="26"/>
        <v>2587211.8269136613</v>
      </c>
      <c r="BD53" s="113">
        <f t="shared" si="26"/>
        <v>2587211.8269136613</v>
      </c>
      <c r="BE53" s="113">
        <f t="shared" si="26"/>
        <v>2587211.8269136613</v>
      </c>
      <c r="BF53" s="113">
        <f t="shared" si="26"/>
        <v>2587211.8269136613</v>
      </c>
      <c r="BG53" s="113">
        <f t="shared" si="26"/>
        <v>2587211.8269136613</v>
      </c>
      <c r="BH53" s="113">
        <f t="shared" si="26"/>
        <v>2587211.8269136613</v>
      </c>
      <c r="BI53" s="113">
        <f t="shared" si="26"/>
        <v>2587211.8269136613</v>
      </c>
      <c r="BJ53" s="113">
        <f t="shared" si="26"/>
        <v>2587211.8269136613</v>
      </c>
      <c r="BK53" s="113">
        <f t="shared" si="26"/>
        <v>2587211.8269136613</v>
      </c>
      <c r="BL53" s="113">
        <f t="shared" si="26"/>
        <v>2587211.8269136613</v>
      </c>
      <c r="BM53" s="113">
        <f t="shared" si="26"/>
        <v>2587211.8269136613</v>
      </c>
      <c r="BN53" s="113">
        <f t="shared" si="26"/>
        <v>2587211.8269136613</v>
      </c>
      <c r="BO53" s="113">
        <f t="shared" si="26"/>
        <v>2587211.8269136613</v>
      </c>
      <c r="BP53" s="113">
        <f t="shared" si="26"/>
        <v>2587211.8269136613</v>
      </c>
      <c r="BQ53" s="113">
        <f t="shared" si="26"/>
        <v>2587211.8269136613</v>
      </c>
      <c r="BR53" s="113">
        <f t="shared" si="26"/>
        <v>2587211.8269136613</v>
      </c>
      <c r="BS53" s="113">
        <f t="shared" si="26"/>
        <v>2587211.8269136613</v>
      </c>
      <c r="BT53" s="113">
        <f t="shared" si="26"/>
        <v>2587211.8269136613</v>
      </c>
      <c r="BU53" s="113">
        <f t="shared" si="26"/>
        <v>2587211.8269136613</v>
      </c>
      <c r="BV53" s="113">
        <f t="shared" si="26"/>
        <v>2587211.8269136613</v>
      </c>
      <c r="BW53" s="113">
        <f xml:space="preserve"> IF(BW48 = 1, $F47, BW50 + BW51 - BW52)</f>
        <v>2587211.8269136613</v>
      </c>
      <c r="BX53" s="113">
        <f xml:space="preserve"> IF(BX48 = 1, $F47, BX50 + BX51 - BX52)</f>
        <v>2587211.8269136613</v>
      </c>
      <c r="BY53" s="113">
        <f xml:space="preserve"> IF(BY48 = 1, $F47, BY50 + BY51 - BY52)</f>
        <v>2587211.8269136613</v>
      </c>
    </row>
    <row r="54" spans="1:77">
      <c r="E54" s="282" t="str">
        <f xml:space="preserve"> Time!E$43</f>
        <v>Forecast period flag</v>
      </c>
      <c r="F54" s="282">
        <f xml:space="preserve"> Time!F$43</f>
        <v>0</v>
      </c>
      <c r="G54" s="282" t="str">
        <f xml:space="preserve"> Time!G$43</f>
        <v>flag</v>
      </c>
      <c r="H54" s="282">
        <f xml:space="preserve"> Time!H$43</f>
        <v>6</v>
      </c>
      <c r="I54" s="282">
        <f xml:space="preserve"> Time!I$43</f>
        <v>0</v>
      </c>
      <c r="J54" s="282">
        <f xml:space="preserve"> Time!J$43</f>
        <v>0</v>
      </c>
      <c r="K54" s="282">
        <f xml:space="preserve"> Time!K$43</f>
        <v>0</v>
      </c>
      <c r="L54" s="282">
        <f xml:space="preserve"> Time!L$43</f>
        <v>0</v>
      </c>
      <c r="M54" s="282">
        <f xml:space="preserve"> Time!M$43</f>
        <v>0</v>
      </c>
      <c r="N54" s="282">
        <f xml:space="preserve"> Time!N$43</f>
        <v>0</v>
      </c>
      <c r="O54" s="282">
        <f xml:space="preserve"> Time!O$43</f>
        <v>0</v>
      </c>
      <c r="P54" s="282">
        <f xml:space="preserve"> Time!P$43</f>
        <v>1</v>
      </c>
      <c r="Q54" s="282">
        <f xml:space="preserve"> Time!Q$43</f>
        <v>1</v>
      </c>
      <c r="R54" s="282">
        <f xml:space="preserve"> Time!R$43</f>
        <v>1</v>
      </c>
      <c r="S54" s="282">
        <f xml:space="preserve"> Time!S$43</f>
        <v>1</v>
      </c>
      <c r="T54" s="282">
        <f xml:space="preserve"> Time!T$43</f>
        <v>1</v>
      </c>
      <c r="U54" s="282">
        <f xml:space="preserve"> Time!U$43</f>
        <v>1</v>
      </c>
      <c r="V54" s="282">
        <f xml:space="preserve"> Time!V$43</f>
        <v>0</v>
      </c>
      <c r="W54" s="282">
        <f xml:space="preserve"> Time!W$43</f>
        <v>0</v>
      </c>
    </row>
    <row r="55" spans="1:77" s="191" customFormat="1">
      <c r="A55" s="188"/>
      <c r="B55" s="189"/>
      <c r="C55" s="291"/>
      <c r="D55" s="190"/>
      <c r="E55" s="191" t="str">
        <f>"Forecast"&amp;" "&amp;E53</f>
        <v>Forecast Deferred Tax Liability balance</v>
      </c>
      <c r="F55" s="191" t="s">
        <v>251</v>
      </c>
      <c r="G55" s="191" t="str">
        <f>smu</f>
        <v>Kes '000'</v>
      </c>
      <c r="H55" s="191">
        <f xml:space="preserve"> SUM(J55:W55)</f>
        <v>12523446.561220795</v>
      </c>
      <c r="J55" s="191">
        <f>J53*J54</f>
        <v>0</v>
      </c>
      <c r="K55" s="191">
        <f t="shared" ref="K55:W55" si="27">K53*K54</f>
        <v>0</v>
      </c>
      <c r="L55" s="191">
        <f t="shared" si="27"/>
        <v>0</v>
      </c>
      <c r="M55" s="191">
        <f t="shared" si="27"/>
        <v>0</v>
      </c>
      <c r="N55" s="191">
        <f t="shared" si="27"/>
        <v>0</v>
      </c>
      <c r="O55" s="191">
        <f t="shared" si="27"/>
        <v>0</v>
      </c>
      <c r="P55" s="191">
        <f t="shared" si="27"/>
        <v>1689286.7629428115</v>
      </c>
      <c r="Q55" s="191">
        <f t="shared" si="27"/>
        <v>1812677.6011165418</v>
      </c>
      <c r="R55" s="191">
        <f t="shared" si="27"/>
        <v>1959941.3105652845</v>
      </c>
      <c r="S55" s="191">
        <f t="shared" si="27"/>
        <v>2134476.8184249713</v>
      </c>
      <c r="T55" s="191">
        <f t="shared" si="27"/>
        <v>2339852.241257526</v>
      </c>
      <c r="U55" s="191">
        <f t="shared" si="27"/>
        <v>2587211.8269136613</v>
      </c>
      <c r="V55" s="191">
        <f t="shared" si="27"/>
        <v>0</v>
      </c>
      <c r="W55" s="191">
        <f t="shared" si="27"/>
        <v>0</v>
      </c>
    </row>
  </sheetData>
  <conditionalFormatting sqref="F2">
    <cfRule type="cellIs" dxfId="23" priority="1" stopIfTrue="1" operator="notEqual">
      <formula>0</formula>
    </cfRule>
    <cfRule type="cellIs" dxfId="22" priority="2" stopIfTrue="1" operator="equal">
      <formula>""</formula>
    </cfRule>
  </conditionalFormatting>
  <conditionalFormatting sqref="J3:BY3">
    <cfRule type="cellIs" dxfId="21" priority="5" stopIfTrue="1" operator="equal">
      <formula>"Pre-forecast"</formula>
    </cfRule>
    <cfRule type="cellIs" dxfId="20"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0" tint="-0.14999847407452621"/>
    <outlinePr summaryBelow="0" summaryRight="0"/>
  </sheetPr>
  <dimension ref="A1:BY77"/>
  <sheetViews>
    <sheetView defaultGridColor="0" colorId="22" zoomScale="80" workbookViewId="0">
      <pane xSplit="9" ySplit="5" topLeftCell="J57" activePane="bottomRight" state="frozen"/>
      <selection activeCell="F2" sqref="F2"/>
      <selection pane="topRight" activeCell="F2" sqref="F2"/>
      <selection pane="bottomLeft" activeCell="F2" sqref="F2"/>
      <selection pane="bottomRight" activeCell="N81" sqref="N81"/>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5.140625" style="58" bestFit="1" customWidth="1"/>
    <col min="6" max="6" width="12.7109375" style="58" customWidth="1"/>
    <col min="7" max="7" width="11.7109375" style="58" customWidth="1"/>
    <col min="8" max="8" width="12.7109375" style="58" bestFit="1" customWidth="1"/>
    <col min="9" max="9" width="2.7109375" style="58" customWidth="1"/>
    <col min="10" max="19" width="11.7109375" style="58" customWidth="1"/>
    <col min="20" max="21" width="12.28515625" style="58" bestFit="1" customWidth="1"/>
    <col min="22"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Equity</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c r="B7" s="4" t="s">
        <v>345</v>
      </c>
      <c r="C7" s="132"/>
      <c r="D7" s="133"/>
    </row>
    <row r="8" spans="1:77">
      <c r="B8" s="58"/>
    </row>
    <row r="9" spans="1:77">
      <c r="C9" s="16" t="s">
        <v>347</v>
      </c>
    </row>
    <row r="11" spans="1:77">
      <c r="E11" s="282" t="str">
        <f xml:space="preserve"> FinStat!E$29</f>
        <v>Total Dividends Actuals</v>
      </c>
      <c r="F11" s="282">
        <f xml:space="preserve"> FinStat!F$29</f>
        <v>0</v>
      </c>
      <c r="G11" s="282" t="str">
        <f xml:space="preserve"> FinStat!G$29</f>
        <v>Kes '000'</v>
      </c>
      <c r="H11" s="282">
        <f xml:space="preserve"> SUM(J11:W11)</f>
        <v>58859806.066892415</v>
      </c>
      <c r="I11" s="282">
        <f xml:space="preserve"> FinStat!I$29</f>
        <v>0</v>
      </c>
      <c r="J11" s="282">
        <f xml:space="preserve"> FinStat!J$29</f>
        <v>1700000</v>
      </c>
      <c r="K11" s="282">
        <f xml:space="preserve"> FinStat!K$29</f>
        <v>1475000</v>
      </c>
      <c r="L11" s="282">
        <f xml:space="preserve"> FinStat!L$29</f>
        <v>1450000</v>
      </c>
      <c r="M11" s="282">
        <f xml:space="preserve"> FinStat!M$29</f>
        <v>3050000</v>
      </c>
      <c r="N11" s="282">
        <f xml:space="preserve"> FinStat!N$29</f>
        <v>3250000</v>
      </c>
      <c r="O11" s="282">
        <f xml:space="preserve"> FinStat!O$29</f>
        <v>3700000</v>
      </c>
      <c r="P11" s="282">
        <f xml:space="preserve"> FinStat!P$29</f>
        <v>4636310.7457779692</v>
      </c>
      <c r="Q11" s="282">
        <f xml:space="preserve"> FinStat!Q$29</f>
        <v>5441535.9634615155</v>
      </c>
      <c r="R11" s="282">
        <f xml:space="preserve"> FinStat!R$29</f>
        <v>6494329.5866895663</v>
      </c>
      <c r="S11" s="282">
        <f xml:space="preserve"> FinStat!S$29</f>
        <v>7697015.8966121888</v>
      </c>
      <c r="T11" s="282">
        <f xml:space="preserve"> FinStat!T$29</f>
        <v>9057056.1469156425</v>
      </c>
      <c r="U11" s="282">
        <f xml:space="preserve"> FinStat!U$29</f>
        <v>10908557.727435537</v>
      </c>
      <c r="V11" s="282">
        <f xml:space="preserve"> FinStat!V$29</f>
        <v>0</v>
      </c>
      <c r="W11" s="282">
        <f xml:space="preserve"> FinStat!W$29</f>
        <v>0</v>
      </c>
    </row>
    <row r="12" spans="1:77">
      <c r="E12" s="282" t="str">
        <f xml:space="preserve"> FinStat!E$25</f>
        <v>Total Net Profit After Tax</v>
      </c>
      <c r="F12" s="282">
        <f xml:space="preserve"> FinStat!F$25</f>
        <v>0</v>
      </c>
      <c r="G12" s="282" t="str">
        <f xml:space="preserve"> FinStat!G$25</f>
        <v>Kes '000'</v>
      </c>
      <c r="H12" s="282">
        <f xml:space="preserve"> SUM(J12:W12)</f>
        <v>65119661.718769357</v>
      </c>
      <c r="I12" s="282">
        <f xml:space="preserve"> FinStat!I$25</f>
        <v>0</v>
      </c>
      <c r="J12" s="282">
        <f xml:space="preserve"> FinStat!J$25</f>
        <v>1763364.1</v>
      </c>
      <c r="K12" s="282">
        <f xml:space="preserve"> FinStat!K$25</f>
        <v>1495660.8</v>
      </c>
      <c r="L12" s="282">
        <f xml:space="preserve"> FinStat!L$25</f>
        <v>1705736.4</v>
      </c>
      <c r="M12" s="282">
        <f xml:space="preserve"> FinStat!M$25</f>
        <v>3741186.4000000004</v>
      </c>
      <c r="N12" s="282">
        <f xml:space="preserve"> FinStat!N$25</f>
        <v>3578185</v>
      </c>
      <c r="O12" s="282">
        <f xml:space="preserve"> FinStat!O$25</f>
        <v>3685744.5</v>
      </c>
      <c r="P12" s="282">
        <f xml:space="preserve"> FinStat!P$25</f>
        <v>5151456.3841977436</v>
      </c>
      <c r="Q12" s="282">
        <f xml:space="preserve"> FinStat!Q$25</f>
        <v>6046151.0705127949</v>
      </c>
      <c r="R12" s="282">
        <f xml:space="preserve"> FinStat!R$25</f>
        <v>7215921.7629884072</v>
      </c>
      <c r="S12" s="282">
        <f xml:space="preserve"> FinStat!S$25</f>
        <v>8552239.8851246536</v>
      </c>
      <c r="T12" s="282">
        <f xml:space="preserve"> FinStat!T$25</f>
        <v>10063395.718795158</v>
      </c>
      <c r="U12" s="282">
        <f xml:space="preserve"> FinStat!U$25</f>
        <v>12120619.697150595</v>
      </c>
      <c r="V12" s="282">
        <f xml:space="preserve"> FinStat!V$25</f>
        <v>0</v>
      </c>
      <c r="W12" s="282">
        <f xml:space="preserve"> FinStat!W$25</f>
        <v>0</v>
      </c>
    </row>
    <row r="13" spans="1:77">
      <c r="E13" s="58" t="s">
        <v>346</v>
      </c>
      <c r="F13" s="2">
        <f>AVERAGE(J13:W13)</f>
        <v>0.91064367661281753</v>
      </c>
      <c r="G13" s="58" t="s">
        <v>179</v>
      </c>
      <c r="H13" s="2">
        <f>H11/H12</f>
        <v>0.90387149615562778</v>
      </c>
      <c r="I13" s="2"/>
      <c r="J13" s="2">
        <f>IF(AND(J11&lt;&gt;0,J12&lt;&gt;0),ABS(J11/J12),"N/A")</f>
        <v>0.96406635475906532</v>
      </c>
      <c r="K13" s="2">
        <f t="shared" ref="K13:W13" si="0">IF(AND(K11&lt;&gt;0,K12&lt;&gt;0),ABS(K11/K12),"N/A")</f>
        <v>0.98618617269370168</v>
      </c>
      <c r="L13" s="2">
        <f t="shared" si="0"/>
        <v>0.85007273105035464</v>
      </c>
      <c r="M13" s="2">
        <f t="shared" si="0"/>
        <v>0.81524940858333061</v>
      </c>
      <c r="N13" s="2">
        <f t="shared" si="0"/>
        <v>0.90828171265599733</v>
      </c>
      <c r="O13" s="2">
        <f t="shared" si="0"/>
        <v>1.0038677396113593</v>
      </c>
      <c r="P13" s="2">
        <f t="shared" si="0"/>
        <v>0.9</v>
      </c>
      <c r="Q13" s="2">
        <f t="shared" si="0"/>
        <v>0.9</v>
      </c>
      <c r="R13" s="2">
        <f t="shared" si="0"/>
        <v>0.9</v>
      </c>
      <c r="S13" s="2">
        <f t="shared" si="0"/>
        <v>0.9</v>
      </c>
      <c r="T13" s="2">
        <f t="shared" si="0"/>
        <v>0.9</v>
      </c>
      <c r="U13" s="2">
        <f t="shared" si="0"/>
        <v>0.9</v>
      </c>
      <c r="V13" s="2" t="str">
        <f t="shared" si="0"/>
        <v>N/A</v>
      </c>
      <c r="W13" s="2" t="str">
        <f t="shared" si="0"/>
        <v>N/A</v>
      </c>
    </row>
    <row r="15" spans="1:77">
      <c r="C15" s="16" t="s">
        <v>348</v>
      </c>
    </row>
    <row r="17" spans="1:23">
      <c r="E17" s="357" t="str">
        <f xml:space="preserve"> InpS!E$45</f>
        <v>Forecast Dividends payout ratio</v>
      </c>
      <c r="F17" s="357">
        <f xml:space="preserve"> InpS!F$45</f>
        <v>0.9</v>
      </c>
      <c r="G17" s="357" t="str">
        <f xml:space="preserve"> InpS!G$45</f>
        <v>%</v>
      </c>
      <c r="H17" s="357">
        <f xml:space="preserve"> InpS!H$45</f>
        <v>0</v>
      </c>
      <c r="I17" s="357">
        <f xml:space="preserve"> InpS!I$45</f>
        <v>0</v>
      </c>
      <c r="J17" s="357">
        <f xml:space="preserve"> InpS!J$45</f>
        <v>0</v>
      </c>
      <c r="K17" s="357">
        <f xml:space="preserve"> InpS!K$45</f>
        <v>0</v>
      </c>
      <c r="L17" s="357">
        <f xml:space="preserve"> InpS!L$45</f>
        <v>0</v>
      </c>
      <c r="M17" s="357">
        <f xml:space="preserve"> InpS!M$45</f>
        <v>0</v>
      </c>
      <c r="N17" s="357">
        <f xml:space="preserve"> InpS!N$45</f>
        <v>0</v>
      </c>
      <c r="O17" s="357">
        <f xml:space="preserve"> InpS!O$45</f>
        <v>0</v>
      </c>
      <c r="P17" s="357">
        <f xml:space="preserve"> InpS!P$45</f>
        <v>0.9</v>
      </c>
      <c r="Q17" s="357">
        <f xml:space="preserve"> InpS!Q$45</f>
        <v>0.9</v>
      </c>
      <c r="R17" s="357">
        <f xml:space="preserve"> InpS!R$45</f>
        <v>0.9</v>
      </c>
      <c r="S17" s="357">
        <f xml:space="preserve"> InpS!S$45</f>
        <v>0.9</v>
      </c>
      <c r="T17" s="357">
        <f xml:space="preserve"> InpS!T$45</f>
        <v>0.9</v>
      </c>
      <c r="U17" s="357">
        <f xml:space="preserve"> InpS!U$45</f>
        <v>0.9</v>
      </c>
      <c r="V17" s="290"/>
      <c r="W17" s="290"/>
    </row>
    <row r="19" spans="1:23">
      <c r="C19" s="16" t="s">
        <v>345</v>
      </c>
    </row>
    <row r="21" spans="1:23">
      <c r="E21" s="288" t="str">
        <f xml:space="preserve"> E$17</f>
        <v>Forecast Dividends payout ratio</v>
      </c>
      <c r="F21" s="288">
        <f xml:space="preserve"> F$17</f>
        <v>0.9</v>
      </c>
      <c r="G21" s="288" t="str">
        <f t="shared" ref="G21:W21" si="1" xml:space="preserve"> G$17</f>
        <v>%</v>
      </c>
      <c r="H21" s="288">
        <f t="shared" si="1"/>
        <v>0</v>
      </c>
      <c r="I21" s="288">
        <f t="shared" si="1"/>
        <v>0</v>
      </c>
      <c r="J21" s="288">
        <f t="shared" si="1"/>
        <v>0</v>
      </c>
      <c r="K21" s="288">
        <f t="shared" si="1"/>
        <v>0</v>
      </c>
      <c r="L21" s="288">
        <f t="shared" si="1"/>
        <v>0</v>
      </c>
      <c r="M21" s="288">
        <f t="shared" si="1"/>
        <v>0</v>
      </c>
      <c r="N21" s="288">
        <f t="shared" si="1"/>
        <v>0</v>
      </c>
      <c r="O21" s="288">
        <f t="shared" si="1"/>
        <v>0</v>
      </c>
      <c r="P21" s="288">
        <f t="shared" si="1"/>
        <v>0.9</v>
      </c>
      <c r="Q21" s="288">
        <f t="shared" si="1"/>
        <v>0.9</v>
      </c>
      <c r="R21" s="288">
        <f t="shared" si="1"/>
        <v>0.9</v>
      </c>
      <c r="S21" s="288">
        <f t="shared" si="1"/>
        <v>0.9</v>
      </c>
      <c r="T21" s="288">
        <f t="shared" si="1"/>
        <v>0.9</v>
      </c>
      <c r="U21" s="288">
        <f t="shared" si="1"/>
        <v>0.9</v>
      </c>
      <c r="V21" s="288">
        <f t="shared" si="1"/>
        <v>0</v>
      </c>
      <c r="W21" s="288">
        <f t="shared" si="1"/>
        <v>0</v>
      </c>
    </row>
    <row r="22" spans="1:23">
      <c r="E22" s="282" t="str">
        <f xml:space="preserve"> FinStat!E$25</f>
        <v>Total Net Profit After Tax</v>
      </c>
      <c r="F22" s="282">
        <f xml:space="preserve"> FinStat!F$25</f>
        <v>0</v>
      </c>
      <c r="G22" s="282" t="str">
        <f xml:space="preserve"> FinStat!G$25</f>
        <v>Kes '000'</v>
      </c>
      <c r="H22" s="282">
        <f xml:space="preserve"> SUM(J22:W22)</f>
        <v>65119661.718769357</v>
      </c>
      <c r="I22" s="282">
        <f xml:space="preserve"> FinStat!I$25</f>
        <v>0</v>
      </c>
      <c r="J22" s="282">
        <f xml:space="preserve"> FinStat!J$25</f>
        <v>1763364.1</v>
      </c>
      <c r="K22" s="282">
        <f xml:space="preserve"> FinStat!K$25</f>
        <v>1495660.8</v>
      </c>
      <c r="L22" s="282">
        <f xml:space="preserve"> FinStat!L$25</f>
        <v>1705736.4</v>
      </c>
      <c r="M22" s="282">
        <f xml:space="preserve"> FinStat!M$25</f>
        <v>3741186.4000000004</v>
      </c>
      <c r="N22" s="282">
        <f xml:space="preserve"> FinStat!N$25</f>
        <v>3578185</v>
      </c>
      <c r="O22" s="282">
        <f xml:space="preserve"> FinStat!O$25</f>
        <v>3685744.5</v>
      </c>
      <c r="P22" s="282">
        <f xml:space="preserve"> FinStat!P$25</f>
        <v>5151456.3841977436</v>
      </c>
      <c r="Q22" s="282">
        <f xml:space="preserve"> FinStat!Q$25</f>
        <v>6046151.0705127949</v>
      </c>
      <c r="R22" s="282">
        <f xml:space="preserve"> FinStat!R$25</f>
        <v>7215921.7629884072</v>
      </c>
      <c r="S22" s="282">
        <f xml:space="preserve"> FinStat!S$25</f>
        <v>8552239.8851246536</v>
      </c>
      <c r="T22" s="282">
        <f xml:space="preserve"> FinStat!T$25</f>
        <v>10063395.718795158</v>
      </c>
      <c r="U22" s="282">
        <f xml:space="preserve"> FinStat!U$25</f>
        <v>12120619.697150595</v>
      </c>
      <c r="V22" s="282">
        <f xml:space="preserve"> FinStat!V$25</f>
        <v>0</v>
      </c>
      <c r="W22" s="282">
        <f xml:space="preserve"> FinStat!W$25</f>
        <v>0</v>
      </c>
    </row>
    <row r="23" spans="1:23" s="191" customFormat="1">
      <c r="A23" s="188"/>
      <c r="B23" s="189"/>
      <c r="C23" s="291"/>
      <c r="D23" s="190"/>
      <c r="E23" s="191" t="s">
        <v>345</v>
      </c>
      <c r="G23" s="191" t="str">
        <f>smu</f>
        <v>Kes '000'</v>
      </c>
      <c r="H23" s="191">
        <f xml:space="preserve"> SUM(J23:W23)</f>
        <v>44234806.066892423</v>
      </c>
      <c r="J23" s="191">
        <f>J21*J22</f>
        <v>0</v>
      </c>
      <c r="K23" s="191">
        <f t="shared" ref="K23:W23" si="2">K21*K22</f>
        <v>0</v>
      </c>
      <c r="L23" s="191">
        <f t="shared" si="2"/>
        <v>0</v>
      </c>
      <c r="M23" s="191">
        <f t="shared" si="2"/>
        <v>0</v>
      </c>
      <c r="N23" s="191">
        <f t="shared" si="2"/>
        <v>0</v>
      </c>
      <c r="O23" s="191">
        <f t="shared" si="2"/>
        <v>0</v>
      </c>
      <c r="P23" s="191">
        <f>P21*P22</f>
        <v>4636310.7457779692</v>
      </c>
      <c r="Q23" s="191">
        <f t="shared" si="2"/>
        <v>5441535.9634615155</v>
      </c>
      <c r="R23" s="191">
        <f t="shared" si="2"/>
        <v>6494329.5866895663</v>
      </c>
      <c r="S23" s="191">
        <f t="shared" si="2"/>
        <v>7697015.8966121888</v>
      </c>
      <c r="T23" s="191">
        <f t="shared" si="2"/>
        <v>9057056.1469156425</v>
      </c>
      <c r="U23" s="191">
        <f t="shared" si="2"/>
        <v>10908557.727435537</v>
      </c>
      <c r="V23" s="191">
        <f t="shared" si="2"/>
        <v>0</v>
      </c>
      <c r="W23" s="191">
        <f t="shared" si="2"/>
        <v>0</v>
      </c>
    </row>
    <row r="25" spans="1:23" s="134" customFormat="1">
      <c r="A25" s="130"/>
      <c r="B25" s="4" t="s">
        <v>349</v>
      </c>
      <c r="C25" s="132"/>
      <c r="D25" s="133"/>
    </row>
    <row r="26" spans="1:23">
      <c r="B26" s="58"/>
    </row>
    <row r="27" spans="1:23">
      <c r="C27" s="16" t="s">
        <v>351</v>
      </c>
    </row>
    <row r="29" spans="1:23">
      <c r="E29" s="282" t="str">
        <f xml:space="preserve"> FinStat!E$27</f>
        <v>Interim dividend</v>
      </c>
      <c r="F29" s="282">
        <f xml:space="preserve"> FinStat!F$27</f>
        <v>0</v>
      </c>
      <c r="G29" s="282" t="str">
        <f xml:space="preserve"> FinStat!G$27</f>
        <v>Kes '000'</v>
      </c>
      <c r="H29" s="282">
        <f xml:space="preserve"> FinStat!H$27</f>
        <v>41761325.460203186</v>
      </c>
      <c r="I29" s="282">
        <f xml:space="preserve"> FinStat!I$27</f>
        <v>0</v>
      </c>
      <c r="J29" s="282">
        <f xml:space="preserve"> FinStat!J$27</f>
        <v>450000</v>
      </c>
      <c r="K29" s="282">
        <f xml:space="preserve"> FinStat!K$27</f>
        <v>450000</v>
      </c>
      <c r="L29" s="282">
        <f xml:space="preserve"> FinStat!L$27</f>
        <v>0</v>
      </c>
      <c r="M29" s="282">
        <f xml:space="preserve"> FinStat!M$27</f>
        <v>350000</v>
      </c>
      <c r="N29" s="282">
        <f xml:space="preserve"> FinStat!N$27</f>
        <v>350000</v>
      </c>
      <c r="O29" s="282">
        <f xml:space="preserve"> FinStat!O$27</f>
        <v>350000</v>
      </c>
      <c r="P29" s="282">
        <f xml:space="preserve"> FinStat!P$27</f>
        <v>4172679.6712001725</v>
      </c>
      <c r="Q29" s="282">
        <f xml:space="preserve"> FinStat!Q$27</f>
        <v>4897382.3671153644</v>
      </c>
      <c r="R29" s="282">
        <f xml:space="preserve"> FinStat!R$27</f>
        <v>5844896.6280206097</v>
      </c>
      <c r="S29" s="282">
        <f xml:space="preserve"> FinStat!S$27</f>
        <v>6927314.3069509696</v>
      </c>
      <c r="T29" s="282">
        <f xml:space="preserve"> FinStat!T$27</f>
        <v>8151350.5322240787</v>
      </c>
      <c r="U29" s="282">
        <f xml:space="preserve"> FinStat!U$27</f>
        <v>9817701.9546919838</v>
      </c>
      <c r="V29" s="282">
        <f xml:space="preserve"> FinStat!V$27</f>
        <v>0</v>
      </c>
      <c r="W29" s="282">
        <f xml:space="preserve"> FinStat!W$27</f>
        <v>0</v>
      </c>
    </row>
    <row r="30" spans="1:23">
      <c r="E30" s="282" t="str">
        <f xml:space="preserve"> FinStat!E$29</f>
        <v>Total Dividends Actuals</v>
      </c>
      <c r="F30" s="282">
        <f xml:space="preserve"> FinStat!F$29</f>
        <v>0</v>
      </c>
      <c r="G30" s="282" t="str">
        <f xml:space="preserve"> FinStat!G$29</f>
        <v>Kes '000'</v>
      </c>
      <c r="H30" s="282">
        <f xml:space="preserve"> SUM(J30:W30)</f>
        <v>58859806.066892415</v>
      </c>
      <c r="I30" s="282">
        <f xml:space="preserve"> FinStat!I$29</f>
        <v>0</v>
      </c>
      <c r="J30" s="282">
        <f xml:space="preserve"> FinStat!J$29</f>
        <v>1700000</v>
      </c>
      <c r="K30" s="282">
        <f xml:space="preserve"> FinStat!K$29</f>
        <v>1475000</v>
      </c>
      <c r="L30" s="282">
        <f xml:space="preserve"> FinStat!L$29</f>
        <v>1450000</v>
      </c>
      <c r="M30" s="282">
        <f xml:space="preserve"> FinStat!M$29</f>
        <v>3050000</v>
      </c>
      <c r="N30" s="282">
        <f xml:space="preserve"> FinStat!N$29</f>
        <v>3250000</v>
      </c>
      <c r="O30" s="282">
        <f xml:space="preserve"> FinStat!O$29</f>
        <v>3700000</v>
      </c>
      <c r="P30" s="282">
        <f xml:space="preserve"> FinStat!P$29</f>
        <v>4636310.7457779692</v>
      </c>
      <c r="Q30" s="282">
        <f xml:space="preserve"> FinStat!Q$29</f>
        <v>5441535.9634615155</v>
      </c>
      <c r="R30" s="282">
        <f xml:space="preserve"> FinStat!R$29</f>
        <v>6494329.5866895663</v>
      </c>
      <c r="S30" s="282">
        <f xml:space="preserve"> FinStat!S$29</f>
        <v>7697015.8966121888</v>
      </c>
      <c r="T30" s="282">
        <f xml:space="preserve"> FinStat!T$29</f>
        <v>9057056.1469156425</v>
      </c>
      <c r="U30" s="282">
        <f xml:space="preserve"> FinStat!U$29</f>
        <v>10908557.727435537</v>
      </c>
      <c r="V30" s="282">
        <f xml:space="preserve"> FinStat!V$29</f>
        <v>0</v>
      </c>
      <c r="W30" s="282">
        <f xml:space="preserve"> FinStat!W$29</f>
        <v>0</v>
      </c>
    </row>
    <row r="31" spans="1:23">
      <c r="E31" s="58" t="s">
        <v>350</v>
      </c>
      <c r="F31" s="2">
        <f>AVERAGE(J31:W31)</f>
        <v>0.57153014806938285</v>
      </c>
      <c r="G31" s="58" t="s">
        <v>179</v>
      </c>
      <c r="H31" s="2">
        <f>H29/H30</f>
        <v>0.70950497887714215</v>
      </c>
      <c r="I31" s="2"/>
      <c r="J31" s="2">
        <f>IF(AND(J29&lt;&gt;0,J30&lt;&gt;0),ABS(J29/J30),"N/A")</f>
        <v>0.26470588235294118</v>
      </c>
      <c r="K31" s="2">
        <f t="shared" ref="K31:W31" si="3">IF(AND(K29&lt;&gt;0,K30&lt;&gt;0),ABS(K29/K30),"N/A")</f>
        <v>0.30508474576271188</v>
      </c>
      <c r="L31" s="2" t="str">
        <f t="shared" si="3"/>
        <v>N/A</v>
      </c>
      <c r="M31" s="2">
        <f t="shared" si="3"/>
        <v>0.11475409836065574</v>
      </c>
      <c r="N31" s="2">
        <f t="shared" si="3"/>
        <v>0.1076923076923077</v>
      </c>
      <c r="O31" s="2">
        <f t="shared" si="3"/>
        <v>9.45945945945946E-2</v>
      </c>
      <c r="P31" s="2">
        <f t="shared" si="3"/>
        <v>0.9</v>
      </c>
      <c r="Q31" s="2">
        <f t="shared" si="3"/>
        <v>0.90000000000000013</v>
      </c>
      <c r="R31" s="2">
        <f t="shared" si="3"/>
        <v>0.9</v>
      </c>
      <c r="S31" s="2">
        <f t="shared" si="3"/>
        <v>0.89999999999999991</v>
      </c>
      <c r="T31" s="2">
        <f t="shared" si="3"/>
        <v>0.9</v>
      </c>
      <c r="U31" s="2">
        <f t="shared" si="3"/>
        <v>0.9</v>
      </c>
      <c r="V31" s="2" t="str">
        <f t="shared" si="3"/>
        <v>N/A</v>
      </c>
      <c r="W31" s="2" t="str">
        <f t="shared" si="3"/>
        <v>N/A</v>
      </c>
    </row>
    <row r="33" spans="1:23">
      <c r="C33" s="16" t="s">
        <v>352</v>
      </c>
    </row>
    <row r="35" spans="1:23">
      <c r="E35" s="357" t="str">
        <f xml:space="preserve"> InpS!E$46</f>
        <v>Historical Interim Dividends to total dividends ratio</v>
      </c>
      <c r="F35" s="357">
        <f xml:space="preserve"> InpS!F$46</f>
        <v>0.15</v>
      </c>
      <c r="G35" s="357" t="str">
        <f xml:space="preserve"> InpS!G$46</f>
        <v>%</v>
      </c>
      <c r="H35" s="357">
        <f xml:space="preserve"> InpS!H$46</f>
        <v>0</v>
      </c>
      <c r="I35" s="357">
        <f xml:space="preserve"> InpS!I$46</f>
        <v>0</v>
      </c>
      <c r="J35" s="357">
        <f xml:space="preserve"> InpS!J$46</f>
        <v>0</v>
      </c>
      <c r="K35" s="357">
        <f xml:space="preserve"> InpS!K$46</f>
        <v>0</v>
      </c>
      <c r="L35" s="357">
        <f xml:space="preserve"> InpS!L$46</f>
        <v>0</v>
      </c>
      <c r="M35" s="357">
        <f xml:space="preserve"> InpS!M$46</f>
        <v>0</v>
      </c>
      <c r="N35" s="357">
        <f xml:space="preserve"> InpS!N$46</f>
        <v>0</v>
      </c>
      <c r="O35" s="357">
        <f xml:space="preserve"> InpS!O$46</f>
        <v>0</v>
      </c>
      <c r="P35" s="357">
        <f xml:space="preserve"> InpS!P$46</f>
        <v>0.15</v>
      </c>
      <c r="Q35" s="357">
        <f xml:space="preserve"> InpS!Q$46</f>
        <v>0.15</v>
      </c>
      <c r="R35" s="357">
        <f xml:space="preserve"> InpS!R$46</f>
        <v>0.15</v>
      </c>
      <c r="S35" s="357">
        <f xml:space="preserve"> InpS!S$46</f>
        <v>0.15</v>
      </c>
      <c r="T35" s="357">
        <f xml:space="preserve"> InpS!T$46</f>
        <v>0.15</v>
      </c>
      <c r="U35" s="357">
        <f xml:space="preserve"> InpS!U$46</f>
        <v>0.15</v>
      </c>
      <c r="V35" s="290"/>
      <c r="W35" s="290"/>
    </row>
    <row r="37" spans="1:23">
      <c r="C37" s="16" t="s">
        <v>349</v>
      </c>
    </row>
    <row r="39" spans="1:23">
      <c r="E39" s="288" t="str">
        <f xml:space="preserve"> E$17</f>
        <v>Forecast Dividends payout ratio</v>
      </c>
      <c r="F39" s="288">
        <f>AVERAGE(P39:U39)</f>
        <v>0.9</v>
      </c>
      <c r="G39" s="288" t="str">
        <f t="shared" ref="G39:W39" si="4" xml:space="preserve"> G$17</f>
        <v>%</v>
      </c>
      <c r="H39" s="288">
        <f t="shared" si="4"/>
        <v>0</v>
      </c>
      <c r="I39" s="288">
        <f t="shared" si="4"/>
        <v>0</v>
      </c>
      <c r="J39" s="288">
        <f t="shared" si="4"/>
        <v>0</v>
      </c>
      <c r="K39" s="288">
        <f t="shared" si="4"/>
        <v>0</v>
      </c>
      <c r="L39" s="288">
        <f t="shared" si="4"/>
        <v>0</v>
      </c>
      <c r="M39" s="288">
        <f t="shared" si="4"/>
        <v>0</v>
      </c>
      <c r="N39" s="288">
        <f t="shared" si="4"/>
        <v>0</v>
      </c>
      <c r="O39" s="288">
        <f t="shared" si="4"/>
        <v>0</v>
      </c>
      <c r="P39" s="288">
        <f t="shared" si="4"/>
        <v>0.9</v>
      </c>
      <c r="Q39" s="288">
        <f t="shared" si="4"/>
        <v>0.9</v>
      </c>
      <c r="R39" s="288">
        <f t="shared" si="4"/>
        <v>0.9</v>
      </c>
      <c r="S39" s="288">
        <f t="shared" si="4"/>
        <v>0.9</v>
      </c>
      <c r="T39" s="288">
        <f t="shared" si="4"/>
        <v>0.9</v>
      </c>
      <c r="U39" s="288">
        <f t="shared" si="4"/>
        <v>0.9</v>
      </c>
      <c r="V39" s="288">
        <f t="shared" si="4"/>
        <v>0</v>
      </c>
      <c r="W39" s="288">
        <f t="shared" si="4"/>
        <v>0</v>
      </c>
    </row>
    <row r="40" spans="1:23">
      <c r="E40" s="27" t="str">
        <f xml:space="preserve"> E$23</f>
        <v>Forecast Dividends</v>
      </c>
      <c r="F40" s="27">
        <f t="shared" ref="F40:W40" si="5" xml:space="preserve"> F$23</f>
        <v>0</v>
      </c>
      <c r="G40" s="27" t="str">
        <f t="shared" si="5"/>
        <v>Kes '000'</v>
      </c>
      <c r="H40" s="27">
        <f t="shared" si="5"/>
        <v>44234806.066892423</v>
      </c>
      <c r="I40" s="27">
        <f t="shared" si="5"/>
        <v>0</v>
      </c>
      <c r="J40" s="27">
        <f t="shared" si="5"/>
        <v>0</v>
      </c>
      <c r="K40" s="27">
        <f t="shared" si="5"/>
        <v>0</v>
      </c>
      <c r="L40" s="27">
        <f t="shared" si="5"/>
        <v>0</v>
      </c>
      <c r="M40" s="27">
        <f t="shared" si="5"/>
        <v>0</v>
      </c>
      <c r="N40" s="27">
        <f t="shared" si="5"/>
        <v>0</v>
      </c>
      <c r="O40" s="27">
        <f t="shared" si="5"/>
        <v>0</v>
      </c>
      <c r="P40" s="27">
        <f t="shared" si="5"/>
        <v>4636310.7457779692</v>
      </c>
      <c r="Q40" s="27">
        <f t="shared" si="5"/>
        <v>5441535.9634615155</v>
      </c>
      <c r="R40" s="27">
        <f t="shared" si="5"/>
        <v>6494329.5866895663</v>
      </c>
      <c r="S40" s="27">
        <f t="shared" si="5"/>
        <v>7697015.8966121888</v>
      </c>
      <c r="T40" s="27">
        <f t="shared" si="5"/>
        <v>9057056.1469156425</v>
      </c>
      <c r="U40" s="27">
        <f t="shared" si="5"/>
        <v>10908557.727435537</v>
      </c>
      <c r="V40" s="27">
        <f t="shared" si="5"/>
        <v>0</v>
      </c>
      <c r="W40" s="27">
        <f t="shared" si="5"/>
        <v>0</v>
      </c>
    </row>
    <row r="41" spans="1:23" s="191" customFormat="1">
      <c r="A41" s="188"/>
      <c r="B41" s="189"/>
      <c r="C41" s="291"/>
      <c r="D41" s="190"/>
      <c r="E41" s="191" t="s">
        <v>349</v>
      </c>
      <c r="G41" s="191" t="str">
        <f>smu</f>
        <v>Kes '000'</v>
      </c>
      <c r="H41" s="191">
        <f xml:space="preserve"> SUM(J41:W41)</f>
        <v>39811325.460203171</v>
      </c>
      <c r="J41" s="191">
        <f>J39*J40</f>
        <v>0</v>
      </c>
      <c r="K41" s="191">
        <f t="shared" ref="K41:O41" si="6">K39*K40</f>
        <v>0</v>
      </c>
      <c r="L41" s="191">
        <f t="shared" si="6"/>
        <v>0</v>
      </c>
      <c r="M41" s="191">
        <f t="shared" si="6"/>
        <v>0</v>
      </c>
      <c r="N41" s="191">
        <f t="shared" si="6"/>
        <v>0</v>
      </c>
      <c r="O41" s="191">
        <f t="shared" si="6"/>
        <v>0</v>
      </c>
      <c r="P41" s="191">
        <f>P39*P40</f>
        <v>4172679.6712001725</v>
      </c>
      <c r="Q41" s="191">
        <f t="shared" ref="Q41:W41" si="7">Q39*Q40</f>
        <v>4897382.3671153644</v>
      </c>
      <c r="R41" s="191">
        <f t="shared" si="7"/>
        <v>5844896.6280206097</v>
      </c>
      <c r="S41" s="191">
        <f t="shared" si="7"/>
        <v>6927314.3069509696</v>
      </c>
      <c r="T41" s="191">
        <f t="shared" si="7"/>
        <v>8151350.5322240787</v>
      </c>
      <c r="U41" s="191">
        <f t="shared" si="7"/>
        <v>9817701.9546919838</v>
      </c>
      <c r="V41" s="191">
        <f t="shared" si="7"/>
        <v>0</v>
      </c>
      <c r="W41" s="191">
        <f t="shared" si="7"/>
        <v>0</v>
      </c>
    </row>
    <row r="43" spans="1:23">
      <c r="C43" s="16" t="s">
        <v>353</v>
      </c>
    </row>
    <row r="44" spans="1:23">
      <c r="E44" s="27" t="str">
        <f xml:space="preserve"> E$23</f>
        <v>Forecast Dividends</v>
      </c>
      <c r="F44" s="27">
        <f t="shared" ref="F44:W44" si="8" xml:space="preserve"> F$23</f>
        <v>0</v>
      </c>
      <c r="G44" s="27" t="str">
        <f t="shared" si="8"/>
        <v>Kes '000'</v>
      </c>
      <c r="H44" s="27">
        <f t="shared" si="8"/>
        <v>44234806.066892423</v>
      </c>
      <c r="I44" s="27">
        <f t="shared" si="8"/>
        <v>0</v>
      </c>
      <c r="J44" s="27">
        <f t="shared" si="8"/>
        <v>0</v>
      </c>
      <c r="K44" s="27">
        <f t="shared" si="8"/>
        <v>0</v>
      </c>
      <c r="L44" s="27">
        <f t="shared" si="8"/>
        <v>0</v>
      </c>
      <c r="M44" s="27">
        <f t="shared" si="8"/>
        <v>0</v>
      </c>
      <c r="N44" s="27">
        <f t="shared" si="8"/>
        <v>0</v>
      </c>
      <c r="O44" s="27">
        <f t="shared" si="8"/>
        <v>0</v>
      </c>
      <c r="P44" s="27">
        <f t="shared" si="8"/>
        <v>4636310.7457779692</v>
      </c>
      <c r="Q44" s="27">
        <f t="shared" si="8"/>
        <v>5441535.9634615155</v>
      </c>
      <c r="R44" s="27">
        <f t="shared" si="8"/>
        <v>6494329.5866895663</v>
      </c>
      <c r="S44" s="27">
        <f t="shared" si="8"/>
        <v>7697015.8966121888</v>
      </c>
      <c r="T44" s="27">
        <f t="shared" si="8"/>
        <v>9057056.1469156425</v>
      </c>
      <c r="U44" s="27">
        <f t="shared" si="8"/>
        <v>10908557.727435537</v>
      </c>
      <c r="V44" s="27">
        <f t="shared" si="8"/>
        <v>0</v>
      </c>
      <c r="W44" s="27">
        <f t="shared" si="8"/>
        <v>0</v>
      </c>
    </row>
    <row r="45" spans="1:23">
      <c r="D45" s="61" t="s">
        <v>36</v>
      </c>
      <c r="E45" s="27" t="str">
        <f xml:space="preserve"> E$41</f>
        <v>Forecast Interim Dividends</v>
      </c>
      <c r="F45" s="27">
        <f t="shared" ref="F45:W45" si="9" xml:space="preserve"> F$41</f>
        <v>0</v>
      </c>
      <c r="G45" s="27" t="str">
        <f t="shared" si="9"/>
        <v>Kes '000'</v>
      </c>
      <c r="H45" s="27">
        <f t="shared" si="9"/>
        <v>39811325.460203171</v>
      </c>
      <c r="I45" s="27">
        <f t="shared" si="9"/>
        <v>0</v>
      </c>
      <c r="J45" s="27">
        <f t="shared" si="9"/>
        <v>0</v>
      </c>
      <c r="K45" s="27">
        <f t="shared" si="9"/>
        <v>0</v>
      </c>
      <c r="L45" s="27">
        <f t="shared" si="9"/>
        <v>0</v>
      </c>
      <c r="M45" s="27">
        <f t="shared" si="9"/>
        <v>0</v>
      </c>
      <c r="N45" s="27">
        <f t="shared" si="9"/>
        <v>0</v>
      </c>
      <c r="O45" s="27">
        <f t="shared" si="9"/>
        <v>0</v>
      </c>
      <c r="P45" s="27">
        <f t="shared" si="9"/>
        <v>4172679.6712001725</v>
      </c>
      <c r="Q45" s="27">
        <f t="shared" si="9"/>
        <v>4897382.3671153644</v>
      </c>
      <c r="R45" s="27">
        <f t="shared" si="9"/>
        <v>5844896.6280206097</v>
      </c>
      <c r="S45" s="27">
        <f t="shared" si="9"/>
        <v>6927314.3069509696</v>
      </c>
      <c r="T45" s="27">
        <f t="shared" si="9"/>
        <v>8151350.5322240787</v>
      </c>
      <c r="U45" s="27">
        <f t="shared" si="9"/>
        <v>9817701.9546919838</v>
      </c>
      <c r="V45" s="27">
        <f t="shared" si="9"/>
        <v>0</v>
      </c>
      <c r="W45" s="27">
        <f t="shared" si="9"/>
        <v>0</v>
      </c>
    </row>
    <row r="46" spans="1:23" s="191" customFormat="1">
      <c r="A46" s="188"/>
      <c r="B46" s="189"/>
      <c r="C46" s="291"/>
      <c r="D46" s="190"/>
      <c r="E46" s="191" t="s">
        <v>354</v>
      </c>
      <c r="G46" s="191" t="str">
        <f>smu</f>
        <v>Kes '000'</v>
      </c>
      <c r="H46" s="191">
        <f xml:space="preserve"> SUM(J46:W46)</f>
        <v>4423480.6066892408</v>
      </c>
      <c r="J46" s="191">
        <f>J44-J45</f>
        <v>0</v>
      </c>
      <c r="K46" s="191">
        <f t="shared" ref="K46:W46" si="10">K44-K45</f>
        <v>0</v>
      </c>
      <c r="L46" s="191">
        <f t="shared" si="10"/>
        <v>0</v>
      </c>
      <c r="M46" s="191">
        <f t="shared" si="10"/>
        <v>0</v>
      </c>
      <c r="N46" s="191">
        <f t="shared" si="10"/>
        <v>0</v>
      </c>
      <c r="O46" s="191">
        <f t="shared" si="10"/>
        <v>0</v>
      </c>
      <c r="P46" s="191">
        <f t="shared" si="10"/>
        <v>463631.07457779674</v>
      </c>
      <c r="Q46" s="191">
        <f t="shared" si="10"/>
        <v>544153.59634615108</v>
      </c>
      <c r="R46" s="191">
        <f t="shared" si="10"/>
        <v>649432.95866895653</v>
      </c>
      <c r="S46" s="191">
        <f t="shared" si="10"/>
        <v>769701.58966121916</v>
      </c>
      <c r="T46" s="191">
        <f t="shared" si="10"/>
        <v>905705.61469156388</v>
      </c>
      <c r="U46" s="191">
        <f t="shared" si="10"/>
        <v>1090855.7727435529</v>
      </c>
      <c r="V46" s="191">
        <f t="shared" si="10"/>
        <v>0</v>
      </c>
      <c r="W46" s="191">
        <f t="shared" si="10"/>
        <v>0</v>
      </c>
    </row>
    <row r="48" spans="1:23">
      <c r="C48" s="16" t="s">
        <v>355</v>
      </c>
    </row>
    <row r="49" spans="1:77">
      <c r="E49" s="282" t="str">
        <f xml:space="preserve"> FinStat!E$27</f>
        <v>Interim dividend</v>
      </c>
      <c r="F49" s="282">
        <f xml:space="preserve"> FinStat!F$27</f>
        <v>0</v>
      </c>
      <c r="G49" s="282" t="str">
        <f xml:space="preserve"> FinStat!G$27</f>
        <v>Kes '000'</v>
      </c>
      <c r="H49" s="282">
        <f xml:space="preserve"> FinStat!H$27</f>
        <v>41761325.460203186</v>
      </c>
      <c r="I49" s="282">
        <f xml:space="preserve"> FinStat!I$27</f>
        <v>0</v>
      </c>
      <c r="J49" s="282">
        <f xml:space="preserve"> FinStat!J$27</f>
        <v>450000</v>
      </c>
      <c r="K49" s="282">
        <f xml:space="preserve"> FinStat!K$27</f>
        <v>450000</v>
      </c>
      <c r="L49" s="282">
        <f xml:space="preserve"> FinStat!L$27</f>
        <v>0</v>
      </c>
      <c r="M49" s="282">
        <f xml:space="preserve"> FinStat!M$27</f>
        <v>350000</v>
      </c>
      <c r="N49" s="282">
        <f xml:space="preserve"> FinStat!N$27</f>
        <v>350000</v>
      </c>
      <c r="O49" s="282">
        <f xml:space="preserve"> FinStat!O$27</f>
        <v>350000</v>
      </c>
      <c r="P49" s="282">
        <f xml:space="preserve"> FinStat!P$27</f>
        <v>4172679.6712001725</v>
      </c>
      <c r="Q49" s="282">
        <f xml:space="preserve"> FinStat!Q$27</f>
        <v>4897382.3671153644</v>
      </c>
      <c r="R49" s="282">
        <f xml:space="preserve"> FinStat!R$27</f>
        <v>5844896.6280206097</v>
      </c>
      <c r="S49" s="282">
        <f xml:space="preserve"> FinStat!S$27</f>
        <v>6927314.3069509696</v>
      </c>
      <c r="T49" s="282">
        <f xml:space="preserve"> FinStat!T$27</f>
        <v>8151350.5322240787</v>
      </c>
      <c r="U49" s="282">
        <f xml:space="preserve"> FinStat!U$27</f>
        <v>9817701.9546919838</v>
      </c>
      <c r="V49" s="282">
        <f xml:space="preserve"> FinStat!V$27</f>
        <v>0</v>
      </c>
      <c r="W49" s="282">
        <f xml:space="preserve"> FinStat!W$27</f>
        <v>0</v>
      </c>
    </row>
    <row r="50" spans="1:77">
      <c r="E50" s="282" t="str">
        <f xml:space="preserve"> FinStat!E$28</f>
        <v>Proposed final dividend</v>
      </c>
      <c r="F50" s="282">
        <f xml:space="preserve"> FinStat!F$28</f>
        <v>0</v>
      </c>
      <c r="G50" s="282" t="str">
        <f xml:space="preserve"> FinStat!G$28</f>
        <v>Kes '000'</v>
      </c>
      <c r="H50" s="282">
        <f xml:space="preserve"> FinStat!H$28</f>
        <v>17098480.606689241</v>
      </c>
      <c r="I50" s="282">
        <f xml:space="preserve"> FinStat!I$28</f>
        <v>0</v>
      </c>
      <c r="J50" s="282">
        <f xml:space="preserve"> FinStat!J$28</f>
        <v>1250000</v>
      </c>
      <c r="K50" s="282">
        <f xml:space="preserve"> FinStat!K$28</f>
        <v>1025000</v>
      </c>
      <c r="L50" s="282">
        <f xml:space="preserve"> FinStat!L$28</f>
        <v>1450000</v>
      </c>
      <c r="M50" s="282">
        <f xml:space="preserve"> FinStat!M$28</f>
        <v>2700000</v>
      </c>
      <c r="N50" s="282">
        <f xml:space="preserve"> FinStat!N$28</f>
        <v>2900000</v>
      </c>
      <c r="O50" s="282">
        <f xml:space="preserve"> FinStat!O$28</f>
        <v>3350000</v>
      </c>
      <c r="P50" s="282">
        <f xml:space="preserve"> FinStat!P$28</f>
        <v>463631.07457779674</v>
      </c>
      <c r="Q50" s="282">
        <f xml:space="preserve"> FinStat!Q$28</f>
        <v>544153.59634615108</v>
      </c>
      <c r="R50" s="282">
        <f xml:space="preserve"> FinStat!R$28</f>
        <v>649432.95866895653</v>
      </c>
      <c r="S50" s="282">
        <f xml:space="preserve"> FinStat!S$28</f>
        <v>769701.58966121916</v>
      </c>
      <c r="T50" s="282">
        <f xml:space="preserve"> FinStat!T$28</f>
        <v>905705.61469156388</v>
      </c>
      <c r="U50" s="282">
        <f xml:space="preserve"> FinStat!U$28</f>
        <v>1090855.7727435529</v>
      </c>
      <c r="V50" s="282">
        <f xml:space="preserve"> FinStat!V$28</f>
        <v>0</v>
      </c>
      <c r="W50" s="282">
        <f xml:space="preserve"> FinStat!W$28</f>
        <v>0</v>
      </c>
    </row>
    <row r="51" spans="1:77">
      <c r="E51" s="282" t="str">
        <f xml:space="preserve"> Time!E$43</f>
        <v>Forecast period flag</v>
      </c>
      <c r="F51" s="282">
        <f xml:space="preserve"> Time!F$43</f>
        <v>0</v>
      </c>
      <c r="G51" s="282" t="str">
        <f xml:space="preserve"> Time!G$43</f>
        <v>flag</v>
      </c>
      <c r="H51" s="282">
        <f xml:space="preserve"> Time!H$43</f>
        <v>6</v>
      </c>
      <c r="I51" s="282">
        <f xml:space="preserve"> Time!I$43</f>
        <v>0</v>
      </c>
      <c r="J51" s="282">
        <f xml:space="preserve"> Time!J$43</f>
        <v>0</v>
      </c>
      <c r="K51" s="282">
        <f xml:space="preserve"> Time!K$43</f>
        <v>0</v>
      </c>
      <c r="L51" s="282">
        <f xml:space="preserve"> Time!L$43</f>
        <v>0</v>
      </c>
      <c r="M51" s="282">
        <f xml:space="preserve"> Time!M$43</f>
        <v>0</v>
      </c>
      <c r="N51" s="282">
        <f xml:space="preserve"> Time!N$43</f>
        <v>0</v>
      </c>
      <c r="O51" s="282">
        <f xml:space="preserve"> Time!O$43</f>
        <v>0</v>
      </c>
      <c r="P51" s="282">
        <f xml:space="preserve"> Time!P$43</f>
        <v>1</v>
      </c>
      <c r="Q51" s="282">
        <f xml:space="preserve"> Time!Q$43</f>
        <v>1</v>
      </c>
      <c r="R51" s="282">
        <f xml:space="preserve"> Time!R$43</f>
        <v>1</v>
      </c>
      <c r="S51" s="282">
        <f xml:space="preserve"> Time!S$43</f>
        <v>1</v>
      </c>
      <c r="T51" s="282">
        <f xml:space="preserve"> Time!T$43</f>
        <v>1</v>
      </c>
      <c r="U51" s="282">
        <f xml:space="preserve"> Time!U$43</f>
        <v>1</v>
      </c>
      <c r="V51" s="282">
        <f xml:space="preserve"> Time!V$43</f>
        <v>0</v>
      </c>
      <c r="W51" s="282">
        <f xml:space="preserve"> Time!W$43</f>
        <v>0</v>
      </c>
    </row>
    <row r="52" spans="1:77" s="27" customFormat="1">
      <c r="A52" s="10"/>
      <c r="B52" s="4"/>
      <c r="C52" s="76"/>
      <c r="D52" s="26"/>
      <c r="E52" s="27" t="s">
        <v>356</v>
      </c>
      <c r="G52" s="27" t="str">
        <f>smu</f>
        <v>Kes '000'</v>
      </c>
      <c r="H52" s="27">
        <f xml:space="preserve"> SUM(J52:W52)</f>
        <v>46493950.294148862</v>
      </c>
      <c r="J52" s="27">
        <f>(J49+I50)*J51</f>
        <v>0</v>
      </c>
      <c r="K52" s="27">
        <f t="shared" ref="K52:W52" si="11">(K49+J50)*K51</f>
        <v>0</v>
      </c>
      <c r="L52" s="27">
        <f t="shared" si="11"/>
        <v>0</v>
      </c>
      <c r="M52" s="27">
        <f t="shared" si="11"/>
        <v>0</v>
      </c>
      <c r="N52" s="27">
        <f t="shared" si="11"/>
        <v>0</v>
      </c>
      <c r="O52" s="27">
        <f t="shared" si="11"/>
        <v>0</v>
      </c>
      <c r="P52" s="27">
        <f>(P49+O50)*P51</f>
        <v>7522679.671200173</v>
      </c>
      <c r="Q52" s="27">
        <f t="shared" si="11"/>
        <v>5361013.4416931607</v>
      </c>
      <c r="R52" s="27">
        <f t="shared" si="11"/>
        <v>6389050.2243667608</v>
      </c>
      <c r="S52" s="27">
        <f t="shared" si="11"/>
        <v>7576747.2656199262</v>
      </c>
      <c r="T52" s="27">
        <f t="shared" si="11"/>
        <v>8921052.1218852978</v>
      </c>
      <c r="U52" s="27">
        <f t="shared" si="11"/>
        <v>10723407.569383547</v>
      </c>
      <c r="V52" s="27">
        <f t="shared" si="11"/>
        <v>0</v>
      </c>
      <c r="W52" s="27">
        <f t="shared" si="11"/>
        <v>0</v>
      </c>
    </row>
    <row r="53" spans="1:77">
      <c r="E53" s="141" t="str">
        <f xml:space="preserve"> LEFT(E52, LEN(E52) - 4)</f>
        <v>Forecast Dividends Paid</v>
      </c>
      <c r="F53" s="141"/>
      <c r="G53" s="141" t="str">
        <f xml:space="preserve"> G52</f>
        <v>Kes '000'</v>
      </c>
      <c r="H53" s="141">
        <f>SUM(J53:CA53)</f>
        <v>-46493950.294148862</v>
      </c>
      <c r="I53" s="141"/>
      <c r="J53" s="141">
        <f t="shared" ref="J53:W53" si="12" xml:space="preserve"> -1 * J52</f>
        <v>0</v>
      </c>
      <c r="K53" s="141">
        <f t="shared" si="12"/>
        <v>0</v>
      </c>
      <c r="L53" s="141">
        <f t="shared" si="12"/>
        <v>0</v>
      </c>
      <c r="M53" s="141">
        <f t="shared" si="12"/>
        <v>0</v>
      </c>
      <c r="N53" s="141">
        <f t="shared" si="12"/>
        <v>0</v>
      </c>
      <c r="O53" s="141">
        <f t="shared" si="12"/>
        <v>0</v>
      </c>
      <c r="P53" s="141">
        <f t="shared" si="12"/>
        <v>-7522679.671200173</v>
      </c>
      <c r="Q53" s="141">
        <f t="shared" si="12"/>
        <v>-5361013.4416931607</v>
      </c>
      <c r="R53" s="141">
        <f t="shared" si="12"/>
        <v>-6389050.2243667608</v>
      </c>
      <c r="S53" s="141">
        <f t="shared" si="12"/>
        <v>-7576747.2656199262</v>
      </c>
      <c r="T53" s="141">
        <f t="shared" si="12"/>
        <v>-8921052.1218852978</v>
      </c>
      <c r="U53" s="141">
        <f t="shared" si="12"/>
        <v>-10723407.569383547</v>
      </c>
      <c r="V53" s="141">
        <f t="shared" si="12"/>
        <v>0</v>
      </c>
      <c r="W53" s="141">
        <f t="shared" si="12"/>
        <v>0</v>
      </c>
    </row>
    <row r="55" spans="1:77">
      <c r="A55" s="10" t="s">
        <v>357</v>
      </c>
    </row>
    <row r="57" spans="1:77" s="66" customFormat="1">
      <c r="A57" s="55"/>
      <c r="B57" s="55"/>
      <c r="C57" s="56"/>
      <c r="D57" s="63"/>
      <c r="E57" s="355" t="str">
        <f xml:space="preserve"> InpC!E$53</f>
        <v>Share Capital - Initial balance</v>
      </c>
      <c r="F57" s="355">
        <f xml:space="preserve"> InpC!F$53</f>
        <v>2200000</v>
      </c>
      <c r="G57" s="355" t="str">
        <f xml:space="preserve"> InpC!G$53</f>
        <v>Kes '000'</v>
      </c>
    </row>
    <row r="58" spans="1:77" s="15" customFormat="1">
      <c r="A58" s="35"/>
      <c r="B58" s="35"/>
      <c r="C58" s="36"/>
      <c r="D58" s="69"/>
      <c r="E58" s="15" t="str">
        <f>Time!E$33</f>
        <v>Acquisition / initial balance date flag</v>
      </c>
      <c r="F58" s="15">
        <f>Time!F$33</f>
        <v>0</v>
      </c>
      <c r="G58" s="15" t="str">
        <f>Time!G$33</f>
        <v>flag</v>
      </c>
      <c r="H58" s="15">
        <f>Time!H$33</f>
        <v>1</v>
      </c>
      <c r="I58" s="15">
        <f>Time!I$33</f>
        <v>0</v>
      </c>
      <c r="J58" s="15">
        <f>Time!J$33</f>
        <v>0</v>
      </c>
      <c r="K58" s="15">
        <f>Time!K$33</f>
        <v>0</v>
      </c>
      <c r="L58" s="15">
        <f>Time!L$33</f>
        <v>0</v>
      </c>
      <c r="M58" s="15">
        <f>Time!M$33</f>
        <v>0</v>
      </c>
      <c r="N58" s="15">
        <f>Time!N$33</f>
        <v>0</v>
      </c>
      <c r="O58" s="15">
        <f>Time!O$33</f>
        <v>1</v>
      </c>
      <c r="P58" s="15">
        <f>Time!P$33</f>
        <v>0</v>
      </c>
      <c r="Q58" s="15">
        <f>Time!Q$33</f>
        <v>0</v>
      </c>
      <c r="R58" s="15">
        <f>Time!R$33</f>
        <v>0</v>
      </c>
      <c r="S58" s="15">
        <f>Time!S$33</f>
        <v>0</v>
      </c>
      <c r="T58" s="15">
        <f>Time!T$33</f>
        <v>0</v>
      </c>
      <c r="U58" s="15">
        <f>Time!U$33</f>
        <v>0</v>
      </c>
      <c r="V58" s="15">
        <f>Time!V$33</f>
        <v>0</v>
      </c>
      <c r="W58" s="15">
        <f>Time!W$33</f>
        <v>0</v>
      </c>
      <c r="X58" s="15">
        <f>Time!X$33</f>
        <v>0</v>
      </c>
      <c r="Y58" s="15">
        <f>Time!Y$33</f>
        <v>0</v>
      </c>
      <c r="Z58" s="15">
        <f>Time!Z$33</f>
        <v>0</v>
      </c>
      <c r="AA58" s="15">
        <f>Time!AA$33</f>
        <v>0</v>
      </c>
      <c r="AB58" s="15">
        <f>Time!AB$33</f>
        <v>0</v>
      </c>
      <c r="AC58" s="15">
        <f>Time!AC$33</f>
        <v>0</v>
      </c>
      <c r="AD58" s="15">
        <f>Time!AD$33</f>
        <v>0</v>
      </c>
      <c r="AE58" s="15">
        <f>Time!AE$33</f>
        <v>0</v>
      </c>
      <c r="AF58" s="15">
        <f>Time!AF$33</f>
        <v>0</v>
      </c>
      <c r="AG58" s="15">
        <f>Time!AG$33</f>
        <v>0</v>
      </c>
      <c r="AH58" s="15">
        <f>Time!AH$33</f>
        <v>0</v>
      </c>
      <c r="AI58" s="15">
        <f>Time!AI$33</f>
        <v>0</v>
      </c>
      <c r="AJ58" s="15">
        <f>Time!AJ$33</f>
        <v>0</v>
      </c>
      <c r="AK58" s="15">
        <f>Time!AK$33</f>
        <v>0</v>
      </c>
      <c r="AL58" s="15">
        <f>Time!AL$33</f>
        <v>0</v>
      </c>
      <c r="AM58" s="15">
        <f>Time!AM$33</f>
        <v>0</v>
      </c>
      <c r="AN58" s="15">
        <f>Time!AN$33</f>
        <v>0</v>
      </c>
      <c r="AO58" s="15">
        <f>Time!AO$33</f>
        <v>0</v>
      </c>
      <c r="AP58" s="15">
        <f>Time!AP$33</f>
        <v>0</v>
      </c>
      <c r="AQ58" s="15">
        <f>Time!AQ$33</f>
        <v>0</v>
      </c>
      <c r="AR58" s="15">
        <f>Time!AR$33</f>
        <v>0</v>
      </c>
      <c r="AS58" s="15">
        <f>Time!AS$33</f>
        <v>0</v>
      </c>
      <c r="AT58" s="15">
        <f>Time!AT$33</f>
        <v>0</v>
      </c>
      <c r="AU58" s="15">
        <f>Time!AU$33</f>
        <v>0</v>
      </c>
      <c r="AV58" s="15">
        <f>Time!AV$33</f>
        <v>0</v>
      </c>
      <c r="AW58" s="15">
        <f>Time!AW$33</f>
        <v>0</v>
      </c>
      <c r="AX58" s="15">
        <f>Time!AX$33</f>
        <v>0</v>
      </c>
      <c r="AY58" s="15">
        <f>Time!AY$33</f>
        <v>0</v>
      </c>
      <c r="AZ58" s="15">
        <f>Time!AZ$33</f>
        <v>0</v>
      </c>
      <c r="BA58" s="15">
        <f>Time!BA$33</f>
        <v>0</v>
      </c>
      <c r="BB58" s="15">
        <f>Time!BB$33</f>
        <v>0</v>
      </c>
      <c r="BC58" s="15">
        <f>Time!BC$33</f>
        <v>0</v>
      </c>
      <c r="BD58" s="15">
        <f>Time!BD$33</f>
        <v>0</v>
      </c>
      <c r="BE58" s="15">
        <f>Time!BE$33</f>
        <v>0</v>
      </c>
      <c r="BF58" s="15">
        <f>Time!BF$33</f>
        <v>0</v>
      </c>
      <c r="BG58" s="15">
        <f>Time!BG$33</f>
        <v>0</v>
      </c>
      <c r="BH58" s="15">
        <f>Time!BH$33</f>
        <v>0</v>
      </c>
      <c r="BI58" s="15">
        <f>Time!BI$33</f>
        <v>0</v>
      </c>
      <c r="BJ58" s="15">
        <f>Time!BJ$33</f>
        <v>0</v>
      </c>
      <c r="BK58" s="15">
        <f>Time!BK$33</f>
        <v>0</v>
      </c>
      <c r="BL58" s="15">
        <f>Time!BL$33</f>
        <v>0</v>
      </c>
      <c r="BM58" s="15">
        <f>Time!BM$33</f>
        <v>0</v>
      </c>
      <c r="BN58" s="15">
        <f>Time!BN$33</f>
        <v>0</v>
      </c>
      <c r="BO58" s="15">
        <f>Time!BO$33</f>
        <v>0</v>
      </c>
      <c r="BP58" s="15">
        <f>Time!BP$33</f>
        <v>0</v>
      </c>
      <c r="BQ58" s="15">
        <f>Time!BQ$33</f>
        <v>0</v>
      </c>
      <c r="BR58" s="15">
        <f>Time!BR$33</f>
        <v>0</v>
      </c>
      <c r="BS58" s="15">
        <f>Time!BS$33</f>
        <v>0</v>
      </c>
      <c r="BT58" s="15">
        <f>Time!BT$33</f>
        <v>0</v>
      </c>
      <c r="BU58" s="15">
        <f>Time!BU$33</f>
        <v>0</v>
      </c>
      <c r="BV58" s="15">
        <f>Time!BV$33</f>
        <v>0</v>
      </c>
      <c r="BW58" s="15">
        <f>Time!BW$33</f>
        <v>0</v>
      </c>
      <c r="BX58" s="15">
        <f>Time!BX$33</f>
        <v>0</v>
      </c>
      <c r="BY58" s="15">
        <f>Time!BY$33</f>
        <v>0</v>
      </c>
    </row>
    <row r="59" spans="1:77" s="57" customFormat="1">
      <c r="A59" s="8"/>
      <c r="B59" s="8"/>
      <c r="C59" s="9"/>
      <c r="D59" s="62"/>
    </row>
    <row r="60" spans="1:77" s="59" customFormat="1">
      <c r="A60" s="84"/>
      <c r="B60" s="84"/>
      <c r="C60" s="85"/>
      <c r="D60" s="356"/>
      <c r="E60" s="59" t="s">
        <v>359</v>
      </c>
      <c r="G60" s="59" t="str">
        <f>smu</f>
        <v>Kes '000'</v>
      </c>
      <c r="J60" s="59">
        <f t="shared" ref="J60:BU60" si="13" xml:space="preserve"> I63</f>
        <v>0</v>
      </c>
      <c r="K60" s="59">
        <f t="shared" si="13"/>
        <v>0</v>
      </c>
      <c r="L60" s="59">
        <f t="shared" si="13"/>
        <v>0</v>
      </c>
      <c r="M60" s="59">
        <f t="shared" si="13"/>
        <v>0</v>
      </c>
      <c r="N60" s="59">
        <f t="shared" si="13"/>
        <v>0</v>
      </c>
      <c r="O60" s="59">
        <f t="shared" si="13"/>
        <v>0</v>
      </c>
      <c r="P60" s="59">
        <f t="shared" si="13"/>
        <v>2200000</v>
      </c>
      <c r="Q60" s="59">
        <f t="shared" si="13"/>
        <v>2200000</v>
      </c>
      <c r="R60" s="59">
        <f t="shared" si="13"/>
        <v>2200000</v>
      </c>
      <c r="S60" s="59">
        <f t="shared" si="13"/>
        <v>2200000</v>
      </c>
      <c r="T60" s="59">
        <f t="shared" si="13"/>
        <v>2200000</v>
      </c>
      <c r="U60" s="59">
        <f t="shared" si="13"/>
        <v>2200000</v>
      </c>
      <c r="V60" s="59">
        <f t="shared" si="13"/>
        <v>2200000</v>
      </c>
      <c r="W60" s="59">
        <f t="shared" si="13"/>
        <v>2200000</v>
      </c>
      <c r="X60" s="59">
        <f t="shared" si="13"/>
        <v>2200000</v>
      </c>
      <c r="Y60" s="59">
        <f t="shared" si="13"/>
        <v>2200000</v>
      </c>
      <c r="Z60" s="59">
        <f t="shared" si="13"/>
        <v>2200000</v>
      </c>
      <c r="AA60" s="59">
        <f t="shared" si="13"/>
        <v>2200000</v>
      </c>
      <c r="AB60" s="59">
        <f t="shared" si="13"/>
        <v>2200000</v>
      </c>
      <c r="AC60" s="59">
        <f t="shared" si="13"/>
        <v>2200000</v>
      </c>
      <c r="AD60" s="59">
        <f t="shared" si="13"/>
        <v>2200000</v>
      </c>
      <c r="AE60" s="59">
        <f t="shared" si="13"/>
        <v>2200000</v>
      </c>
      <c r="AF60" s="59">
        <f t="shared" si="13"/>
        <v>2200000</v>
      </c>
      <c r="AG60" s="59">
        <f t="shared" si="13"/>
        <v>2200000</v>
      </c>
      <c r="AH60" s="59">
        <f t="shared" si="13"/>
        <v>2200000</v>
      </c>
      <c r="AI60" s="59">
        <f t="shared" si="13"/>
        <v>2200000</v>
      </c>
      <c r="AJ60" s="59">
        <f t="shared" si="13"/>
        <v>2200000</v>
      </c>
      <c r="AK60" s="59">
        <f t="shared" si="13"/>
        <v>2200000</v>
      </c>
      <c r="AL60" s="59">
        <f t="shared" si="13"/>
        <v>2200000</v>
      </c>
      <c r="AM60" s="59">
        <f t="shared" si="13"/>
        <v>2200000</v>
      </c>
      <c r="AN60" s="59">
        <f t="shared" si="13"/>
        <v>2200000</v>
      </c>
      <c r="AO60" s="59">
        <f t="shared" si="13"/>
        <v>2200000</v>
      </c>
      <c r="AP60" s="59">
        <f t="shared" si="13"/>
        <v>2200000</v>
      </c>
      <c r="AQ60" s="59">
        <f t="shared" si="13"/>
        <v>2200000</v>
      </c>
      <c r="AR60" s="59">
        <f t="shared" si="13"/>
        <v>2200000</v>
      </c>
      <c r="AS60" s="59">
        <f t="shared" si="13"/>
        <v>2200000</v>
      </c>
      <c r="AT60" s="59">
        <f t="shared" si="13"/>
        <v>2200000</v>
      </c>
      <c r="AU60" s="59">
        <f t="shared" si="13"/>
        <v>2200000</v>
      </c>
      <c r="AV60" s="59">
        <f t="shared" si="13"/>
        <v>2200000</v>
      </c>
      <c r="AW60" s="59">
        <f t="shared" si="13"/>
        <v>2200000</v>
      </c>
      <c r="AX60" s="59">
        <f t="shared" si="13"/>
        <v>2200000</v>
      </c>
      <c r="AY60" s="59">
        <f t="shared" si="13"/>
        <v>2200000</v>
      </c>
      <c r="AZ60" s="59">
        <f t="shared" si="13"/>
        <v>2200000</v>
      </c>
      <c r="BA60" s="59">
        <f t="shared" si="13"/>
        <v>2200000</v>
      </c>
      <c r="BB60" s="59">
        <f t="shared" si="13"/>
        <v>2200000</v>
      </c>
      <c r="BC60" s="59">
        <f t="shared" si="13"/>
        <v>2200000</v>
      </c>
      <c r="BD60" s="59">
        <f t="shared" si="13"/>
        <v>2200000</v>
      </c>
      <c r="BE60" s="59">
        <f t="shared" si="13"/>
        <v>2200000</v>
      </c>
      <c r="BF60" s="59">
        <f t="shared" si="13"/>
        <v>2200000</v>
      </c>
      <c r="BG60" s="59">
        <f t="shared" si="13"/>
        <v>2200000</v>
      </c>
      <c r="BH60" s="59">
        <f t="shared" si="13"/>
        <v>2200000</v>
      </c>
      <c r="BI60" s="59">
        <f t="shared" si="13"/>
        <v>2200000</v>
      </c>
      <c r="BJ60" s="59">
        <f t="shared" si="13"/>
        <v>2200000</v>
      </c>
      <c r="BK60" s="59">
        <f t="shared" si="13"/>
        <v>2200000</v>
      </c>
      <c r="BL60" s="59">
        <f t="shared" si="13"/>
        <v>2200000</v>
      </c>
      <c r="BM60" s="59">
        <f t="shared" si="13"/>
        <v>2200000</v>
      </c>
      <c r="BN60" s="59">
        <f t="shared" si="13"/>
        <v>2200000</v>
      </c>
      <c r="BO60" s="59">
        <f t="shared" si="13"/>
        <v>2200000</v>
      </c>
      <c r="BP60" s="59">
        <f t="shared" si="13"/>
        <v>2200000</v>
      </c>
      <c r="BQ60" s="59">
        <f t="shared" si="13"/>
        <v>2200000</v>
      </c>
      <c r="BR60" s="59">
        <f t="shared" si="13"/>
        <v>2200000</v>
      </c>
      <c r="BS60" s="59">
        <f t="shared" si="13"/>
        <v>2200000</v>
      </c>
      <c r="BT60" s="59">
        <f t="shared" si="13"/>
        <v>2200000</v>
      </c>
      <c r="BU60" s="59">
        <f t="shared" si="13"/>
        <v>2200000</v>
      </c>
      <c r="BV60" s="59">
        <f xml:space="preserve"> BU63</f>
        <v>2200000</v>
      </c>
      <c r="BW60" s="59">
        <f xml:space="preserve"> BV63</f>
        <v>2200000</v>
      </c>
      <c r="BX60" s="59">
        <f xml:space="preserve"> BW63</f>
        <v>2200000</v>
      </c>
      <c r="BY60" s="59">
        <f xml:space="preserve"> BX63</f>
        <v>2200000</v>
      </c>
    </row>
    <row r="61" spans="1:77" s="59" customFormat="1">
      <c r="A61" s="84"/>
      <c r="B61" s="84"/>
      <c r="C61" s="85"/>
      <c r="D61" s="356" t="s">
        <v>35</v>
      </c>
      <c r="E61" s="59" t="s">
        <v>362</v>
      </c>
    </row>
    <row r="62" spans="1:77" s="59" customFormat="1">
      <c r="A62" s="84"/>
      <c r="B62" s="84"/>
      <c r="C62" s="85"/>
      <c r="D62" s="356" t="s">
        <v>36</v>
      </c>
      <c r="E62" s="59" t="s">
        <v>363</v>
      </c>
    </row>
    <row r="63" spans="1:77" s="114" customFormat="1">
      <c r="A63" s="384"/>
      <c r="B63" s="384"/>
      <c r="C63" s="385"/>
      <c r="D63" s="386"/>
      <c r="E63" s="114" t="s">
        <v>360</v>
      </c>
      <c r="G63" s="114" t="str">
        <f>smu</f>
        <v>Kes '000'</v>
      </c>
      <c r="J63" s="114">
        <f xml:space="preserve"> IF(J58 = 1, $F57, J60 + J61 - J62)</f>
        <v>0</v>
      </c>
      <c r="K63" s="114">
        <f t="shared" ref="K63:BV63" si="14" xml:space="preserve"> IF(K58 = 1, $F57, K60 + K61 - K62)</f>
        <v>0</v>
      </c>
      <c r="L63" s="114">
        <f t="shared" si="14"/>
        <v>0</v>
      </c>
      <c r="M63" s="114">
        <f t="shared" si="14"/>
        <v>0</v>
      </c>
      <c r="N63" s="114">
        <f t="shared" si="14"/>
        <v>0</v>
      </c>
      <c r="O63" s="114">
        <f t="shared" si="14"/>
        <v>2200000</v>
      </c>
      <c r="P63" s="114">
        <f t="shared" si="14"/>
        <v>2200000</v>
      </c>
      <c r="Q63" s="114">
        <f t="shared" si="14"/>
        <v>2200000</v>
      </c>
      <c r="R63" s="114">
        <f t="shared" si="14"/>
        <v>2200000</v>
      </c>
      <c r="S63" s="114">
        <f t="shared" si="14"/>
        <v>2200000</v>
      </c>
      <c r="T63" s="114">
        <f t="shared" si="14"/>
        <v>2200000</v>
      </c>
      <c r="U63" s="114">
        <f t="shared" si="14"/>
        <v>2200000</v>
      </c>
      <c r="V63" s="114">
        <f t="shared" si="14"/>
        <v>2200000</v>
      </c>
      <c r="W63" s="114">
        <f t="shared" si="14"/>
        <v>2200000</v>
      </c>
      <c r="X63" s="114">
        <f t="shared" si="14"/>
        <v>2200000</v>
      </c>
      <c r="Y63" s="114">
        <f t="shared" si="14"/>
        <v>2200000</v>
      </c>
      <c r="Z63" s="114">
        <f t="shared" si="14"/>
        <v>2200000</v>
      </c>
      <c r="AA63" s="114">
        <f t="shared" si="14"/>
        <v>2200000</v>
      </c>
      <c r="AB63" s="114">
        <f t="shared" si="14"/>
        <v>2200000</v>
      </c>
      <c r="AC63" s="114">
        <f t="shared" si="14"/>
        <v>2200000</v>
      </c>
      <c r="AD63" s="114">
        <f t="shared" si="14"/>
        <v>2200000</v>
      </c>
      <c r="AE63" s="114">
        <f t="shared" si="14"/>
        <v>2200000</v>
      </c>
      <c r="AF63" s="114">
        <f t="shared" si="14"/>
        <v>2200000</v>
      </c>
      <c r="AG63" s="114">
        <f t="shared" si="14"/>
        <v>2200000</v>
      </c>
      <c r="AH63" s="114">
        <f t="shared" si="14"/>
        <v>2200000</v>
      </c>
      <c r="AI63" s="114">
        <f t="shared" si="14"/>
        <v>2200000</v>
      </c>
      <c r="AJ63" s="114">
        <f t="shared" si="14"/>
        <v>2200000</v>
      </c>
      <c r="AK63" s="114">
        <f t="shared" si="14"/>
        <v>2200000</v>
      </c>
      <c r="AL63" s="114">
        <f t="shared" si="14"/>
        <v>2200000</v>
      </c>
      <c r="AM63" s="114">
        <f t="shared" si="14"/>
        <v>2200000</v>
      </c>
      <c r="AN63" s="114">
        <f t="shared" si="14"/>
        <v>2200000</v>
      </c>
      <c r="AO63" s="114">
        <f t="shared" si="14"/>
        <v>2200000</v>
      </c>
      <c r="AP63" s="114">
        <f t="shared" si="14"/>
        <v>2200000</v>
      </c>
      <c r="AQ63" s="114">
        <f t="shared" si="14"/>
        <v>2200000</v>
      </c>
      <c r="AR63" s="114">
        <f t="shared" si="14"/>
        <v>2200000</v>
      </c>
      <c r="AS63" s="114">
        <f t="shared" si="14"/>
        <v>2200000</v>
      </c>
      <c r="AT63" s="114">
        <f t="shared" si="14"/>
        <v>2200000</v>
      </c>
      <c r="AU63" s="114">
        <f t="shared" si="14"/>
        <v>2200000</v>
      </c>
      <c r="AV63" s="114">
        <f t="shared" si="14"/>
        <v>2200000</v>
      </c>
      <c r="AW63" s="114">
        <f t="shared" si="14"/>
        <v>2200000</v>
      </c>
      <c r="AX63" s="114">
        <f t="shared" si="14"/>
        <v>2200000</v>
      </c>
      <c r="AY63" s="114">
        <f t="shared" si="14"/>
        <v>2200000</v>
      </c>
      <c r="AZ63" s="114">
        <f t="shared" si="14"/>
        <v>2200000</v>
      </c>
      <c r="BA63" s="114">
        <f t="shared" si="14"/>
        <v>2200000</v>
      </c>
      <c r="BB63" s="114">
        <f t="shared" si="14"/>
        <v>2200000</v>
      </c>
      <c r="BC63" s="114">
        <f t="shared" si="14"/>
        <v>2200000</v>
      </c>
      <c r="BD63" s="114">
        <f t="shared" si="14"/>
        <v>2200000</v>
      </c>
      <c r="BE63" s="114">
        <f t="shared" si="14"/>
        <v>2200000</v>
      </c>
      <c r="BF63" s="114">
        <f t="shared" si="14"/>
        <v>2200000</v>
      </c>
      <c r="BG63" s="114">
        <f t="shared" si="14"/>
        <v>2200000</v>
      </c>
      <c r="BH63" s="114">
        <f t="shared" si="14"/>
        <v>2200000</v>
      </c>
      <c r="BI63" s="114">
        <f t="shared" si="14"/>
        <v>2200000</v>
      </c>
      <c r="BJ63" s="114">
        <f t="shared" si="14"/>
        <v>2200000</v>
      </c>
      <c r="BK63" s="114">
        <f t="shared" si="14"/>
        <v>2200000</v>
      </c>
      <c r="BL63" s="114">
        <f t="shared" si="14"/>
        <v>2200000</v>
      </c>
      <c r="BM63" s="114">
        <f t="shared" si="14"/>
        <v>2200000</v>
      </c>
      <c r="BN63" s="114">
        <f t="shared" si="14"/>
        <v>2200000</v>
      </c>
      <c r="BO63" s="114">
        <f t="shared" si="14"/>
        <v>2200000</v>
      </c>
      <c r="BP63" s="114">
        <f t="shared" si="14"/>
        <v>2200000</v>
      </c>
      <c r="BQ63" s="114">
        <f t="shared" si="14"/>
        <v>2200000</v>
      </c>
      <c r="BR63" s="114">
        <f t="shared" si="14"/>
        <v>2200000</v>
      </c>
      <c r="BS63" s="114">
        <f t="shared" si="14"/>
        <v>2200000</v>
      </c>
      <c r="BT63" s="114">
        <f t="shared" si="14"/>
        <v>2200000</v>
      </c>
      <c r="BU63" s="114">
        <f t="shared" si="14"/>
        <v>2200000</v>
      </c>
      <c r="BV63" s="114">
        <f t="shared" si="14"/>
        <v>2200000</v>
      </c>
      <c r="BW63" s="114">
        <f xml:space="preserve"> IF(BW58 = 1, $F57, BW60 + BW61 - BW62)</f>
        <v>2200000</v>
      </c>
      <c r="BX63" s="114">
        <f xml:space="preserve"> IF(BX58 = 1, $F57, BX60 + BX61 - BX62)</f>
        <v>2200000</v>
      </c>
      <c r="BY63" s="114">
        <f xml:space="preserve"> IF(BY58 = 1, $F57, BY60 + BY61 - BY62)</f>
        <v>2200000</v>
      </c>
    </row>
    <row r="64" spans="1:77">
      <c r="E64" s="282" t="str">
        <f xml:space="preserve"> Time!E$43</f>
        <v>Forecast period flag</v>
      </c>
      <c r="F64" s="282">
        <f xml:space="preserve"> Time!F$43</f>
        <v>0</v>
      </c>
      <c r="G64" s="282" t="str">
        <f xml:space="preserve"> Time!G$43</f>
        <v>flag</v>
      </c>
      <c r="H64" s="282">
        <f xml:space="preserve"> Time!H$43</f>
        <v>6</v>
      </c>
      <c r="I64" s="282">
        <f xml:space="preserve"> Time!I$43</f>
        <v>0</v>
      </c>
      <c r="J64" s="282">
        <f xml:space="preserve"> Time!J$43</f>
        <v>0</v>
      </c>
      <c r="K64" s="282">
        <f xml:space="preserve"> Time!K$43</f>
        <v>0</v>
      </c>
      <c r="L64" s="282">
        <f xml:space="preserve"> Time!L$43</f>
        <v>0</v>
      </c>
      <c r="M64" s="282">
        <f xml:space="preserve"> Time!M$43</f>
        <v>0</v>
      </c>
      <c r="N64" s="282">
        <f xml:space="preserve"> Time!N$43</f>
        <v>0</v>
      </c>
      <c r="O64" s="282">
        <f xml:space="preserve"> Time!O$43</f>
        <v>0</v>
      </c>
      <c r="P64" s="282">
        <f xml:space="preserve"> Time!P$43</f>
        <v>1</v>
      </c>
      <c r="Q64" s="282">
        <f xml:space="preserve"> Time!Q$43</f>
        <v>1</v>
      </c>
      <c r="R64" s="282">
        <f xml:space="preserve"> Time!R$43</f>
        <v>1</v>
      </c>
      <c r="S64" s="282">
        <f xml:space="preserve"> Time!S$43</f>
        <v>1</v>
      </c>
      <c r="T64" s="282">
        <f xml:space="preserve"> Time!T$43</f>
        <v>1</v>
      </c>
      <c r="U64" s="282">
        <f xml:space="preserve"> Time!U$43</f>
        <v>1</v>
      </c>
      <c r="V64" s="282">
        <f xml:space="preserve"> Time!V$43</f>
        <v>0</v>
      </c>
      <c r="W64" s="282">
        <f xml:space="preserve"> Time!W$43</f>
        <v>0</v>
      </c>
    </row>
    <row r="65" spans="1:77" s="191" customFormat="1">
      <c r="A65" s="188"/>
      <c r="B65" s="189"/>
      <c r="C65" s="291"/>
      <c r="D65" s="190"/>
      <c r="E65" s="191" t="str">
        <f>"Forecast"&amp;" "&amp;E63</f>
        <v>Forecast Share Capital balance</v>
      </c>
      <c r="F65" s="191" t="s">
        <v>251</v>
      </c>
      <c r="G65" s="191" t="str">
        <f>smu</f>
        <v>Kes '000'</v>
      </c>
      <c r="H65" s="191">
        <f xml:space="preserve"> SUM(J65:W65)</f>
        <v>13200000</v>
      </c>
      <c r="J65" s="191">
        <f>J63*J64</f>
        <v>0</v>
      </c>
      <c r="K65" s="191">
        <f t="shared" ref="K65:W65" si="15">K63*K64</f>
        <v>0</v>
      </c>
      <c r="L65" s="191">
        <f t="shared" si="15"/>
        <v>0</v>
      </c>
      <c r="M65" s="191">
        <f t="shared" si="15"/>
        <v>0</v>
      </c>
      <c r="N65" s="191">
        <f t="shared" si="15"/>
        <v>0</v>
      </c>
      <c r="O65" s="191">
        <f t="shared" si="15"/>
        <v>0</v>
      </c>
      <c r="P65" s="191">
        <f t="shared" si="15"/>
        <v>2200000</v>
      </c>
      <c r="Q65" s="191">
        <f t="shared" si="15"/>
        <v>2200000</v>
      </c>
      <c r="R65" s="191">
        <f t="shared" si="15"/>
        <v>2200000</v>
      </c>
      <c r="S65" s="191">
        <f t="shared" si="15"/>
        <v>2200000</v>
      </c>
      <c r="T65" s="191">
        <f t="shared" si="15"/>
        <v>2200000</v>
      </c>
      <c r="U65" s="191">
        <f t="shared" si="15"/>
        <v>2200000</v>
      </c>
      <c r="V65" s="191">
        <f t="shared" si="15"/>
        <v>0</v>
      </c>
      <c r="W65" s="191">
        <f t="shared" si="15"/>
        <v>0</v>
      </c>
    </row>
    <row r="67" spans="1:77">
      <c r="A67" s="10" t="s">
        <v>364</v>
      </c>
    </row>
    <row r="69" spans="1:77" s="66" customFormat="1">
      <c r="A69" s="55"/>
      <c r="B69" s="55"/>
      <c r="C69" s="56"/>
      <c r="D69" s="63"/>
      <c r="E69" s="355" t="str">
        <f xml:space="preserve"> InpC!E$54</f>
        <v>Retained earnings</v>
      </c>
      <c r="F69" s="355">
        <f xml:space="preserve"> InpC!F$54</f>
        <v>2021608</v>
      </c>
      <c r="G69" s="355" t="str">
        <f xml:space="preserve"> InpC!G$54</f>
        <v>Kes '000'</v>
      </c>
    </row>
    <row r="70" spans="1:77" s="15" customFormat="1">
      <c r="A70" s="35"/>
      <c r="B70" s="35"/>
      <c r="C70" s="36"/>
      <c r="D70" s="69"/>
      <c r="E70" s="15" t="str">
        <f>Time!E$33</f>
        <v>Acquisition / initial balance date flag</v>
      </c>
      <c r="F70" s="15">
        <f>Time!F$33</f>
        <v>0</v>
      </c>
      <c r="G70" s="15" t="str">
        <f>Time!G$33</f>
        <v>flag</v>
      </c>
      <c r="H70" s="15">
        <f>Time!H$33</f>
        <v>1</v>
      </c>
      <c r="I70" s="15">
        <f>Time!I$33</f>
        <v>0</v>
      </c>
      <c r="J70" s="15">
        <f>Time!J$33</f>
        <v>0</v>
      </c>
      <c r="K70" s="15">
        <f>Time!K$33</f>
        <v>0</v>
      </c>
      <c r="L70" s="15">
        <f>Time!L$33</f>
        <v>0</v>
      </c>
      <c r="M70" s="15">
        <f>Time!M$33</f>
        <v>0</v>
      </c>
      <c r="N70" s="15">
        <f>Time!N$33</f>
        <v>0</v>
      </c>
      <c r="O70" s="15">
        <f>Time!O$33</f>
        <v>1</v>
      </c>
      <c r="P70" s="15">
        <f>Time!P$33</f>
        <v>0</v>
      </c>
      <c r="Q70" s="15">
        <f>Time!Q$33</f>
        <v>0</v>
      </c>
      <c r="R70" s="15">
        <f>Time!R$33</f>
        <v>0</v>
      </c>
      <c r="S70" s="15">
        <f>Time!S$33</f>
        <v>0</v>
      </c>
      <c r="T70" s="15">
        <f>Time!T$33</f>
        <v>0</v>
      </c>
      <c r="U70" s="15">
        <f>Time!U$33</f>
        <v>0</v>
      </c>
      <c r="V70" s="15">
        <f>Time!V$33</f>
        <v>0</v>
      </c>
      <c r="W70" s="15">
        <f>Time!W$33</f>
        <v>0</v>
      </c>
      <c r="X70" s="15">
        <f>Time!X$33</f>
        <v>0</v>
      </c>
      <c r="Y70" s="15">
        <f>Time!Y$33</f>
        <v>0</v>
      </c>
      <c r="Z70" s="15">
        <f>Time!Z$33</f>
        <v>0</v>
      </c>
      <c r="AA70" s="15">
        <f>Time!AA$33</f>
        <v>0</v>
      </c>
      <c r="AB70" s="15">
        <f>Time!AB$33</f>
        <v>0</v>
      </c>
      <c r="AC70" s="15">
        <f>Time!AC$33</f>
        <v>0</v>
      </c>
      <c r="AD70" s="15">
        <f>Time!AD$33</f>
        <v>0</v>
      </c>
      <c r="AE70" s="15">
        <f>Time!AE$33</f>
        <v>0</v>
      </c>
      <c r="AF70" s="15">
        <f>Time!AF$33</f>
        <v>0</v>
      </c>
      <c r="AG70" s="15">
        <f>Time!AG$33</f>
        <v>0</v>
      </c>
      <c r="AH70" s="15">
        <f>Time!AH$33</f>
        <v>0</v>
      </c>
      <c r="AI70" s="15">
        <f>Time!AI$33</f>
        <v>0</v>
      </c>
      <c r="AJ70" s="15">
        <f>Time!AJ$33</f>
        <v>0</v>
      </c>
      <c r="AK70" s="15">
        <f>Time!AK$33</f>
        <v>0</v>
      </c>
      <c r="AL70" s="15">
        <f>Time!AL$33</f>
        <v>0</v>
      </c>
      <c r="AM70" s="15">
        <f>Time!AM$33</f>
        <v>0</v>
      </c>
      <c r="AN70" s="15">
        <f>Time!AN$33</f>
        <v>0</v>
      </c>
      <c r="AO70" s="15">
        <f>Time!AO$33</f>
        <v>0</v>
      </c>
      <c r="AP70" s="15">
        <f>Time!AP$33</f>
        <v>0</v>
      </c>
      <c r="AQ70" s="15">
        <f>Time!AQ$33</f>
        <v>0</v>
      </c>
      <c r="AR70" s="15">
        <f>Time!AR$33</f>
        <v>0</v>
      </c>
      <c r="AS70" s="15">
        <f>Time!AS$33</f>
        <v>0</v>
      </c>
      <c r="AT70" s="15">
        <f>Time!AT$33</f>
        <v>0</v>
      </c>
      <c r="AU70" s="15">
        <f>Time!AU$33</f>
        <v>0</v>
      </c>
      <c r="AV70" s="15">
        <f>Time!AV$33</f>
        <v>0</v>
      </c>
      <c r="AW70" s="15">
        <f>Time!AW$33</f>
        <v>0</v>
      </c>
      <c r="AX70" s="15">
        <f>Time!AX$33</f>
        <v>0</v>
      </c>
      <c r="AY70" s="15">
        <f>Time!AY$33</f>
        <v>0</v>
      </c>
      <c r="AZ70" s="15">
        <f>Time!AZ$33</f>
        <v>0</v>
      </c>
      <c r="BA70" s="15">
        <f>Time!BA$33</f>
        <v>0</v>
      </c>
      <c r="BB70" s="15">
        <f>Time!BB$33</f>
        <v>0</v>
      </c>
      <c r="BC70" s="15">
        <f>Time!BC$33</f>
        <v>0</v>
      </c>
      <c r="BD70" s="15">
        <f>Time!BD$33</f>
        <v>0</v>
      </c>
      <c r="BE70" s="15">
        <f>Time!BE$33</f>
        <v>0</v>
      </c>
      <c r="BF70" s="15">
        <f>Time!BF$33</f>
        <v>0</v>
      </c>
      <c r="BG70" s="15">
        <f>Time!BG$33</f>
        <v>0</v>
      </c>
      <c r="BH70" s="15">
        <f>Time!BH$33</f>
        <v>0</v>
      </c>
      <c r="BI70" s="15">
        <f>Time!BI$33</f>
        <v>0</v>
      </c>
      <c r="BJ70" s="15">
        <f>Time!BJ$33</f>
        <v>0</v>
      </c>
      <c r="BK70" s="15">
        <f>Time!BK$33</f>
        <v>0</v>
      </c>
      <c r="BL70" s="15">
        <f>Time!BL$33</f>
        <v>0</v>
      </c>
      <c r="BM70" s="15">
        <f>Time!BM$33</f>
        <v>0</v>
      </c>
      <c r="BN70" s="15">
        <f>Time!BN$33</f>
        <v>0</v>
      </c>
      <c r="BO70" s="15">
        <f>Time!BO$33</f>
        <v>0</v>
      </c>
      <c r="BP70" s="15">
        <f>Time!BP$33</f>
        <v>0</v>
      </c>
      <c r="BQ70" s="15">
        <f>Time!BQ$33</f>
        <v>0</v>
      </c>
      <c r="BR70" s="15">
        <f>Time!BR$33</f>
        <v>0</v>
      </c>
      <c r="BS70" s="15">
        <f>Time!BS$33</f>
        <v>0</v>
      </c>
      <c r="BT70" s="15">
        <f>Time!BT$33</f>
        <v>0</v>
      </c>
      <c r="BU70" s="15">
        <f>Time!BU$33</f>
        <v>0</v>
      </c>
      <c r="BV70" s="15">
        <f>Time!BV$33</f>
        <v>0</v>
      </c>
      <c r="BW70" s="15">
        <f>Time!BW$33</f>
        <v>0</v>
      </c>
      <c r="BX70" s="15">
        <f>Time!BX$33</f>
        <v>0</v>
      </c>
      <c r="BY70" s="15">
        <f>Time!BY$33</f>
        <v>0</v>
      </c>
    </row>
    <row r="71" spans="1:77" s="57" customFormat="1">
      <c r="A71" s="8"/>
      <c r="B71" s="8"/>
      <c r="C71" s="9"/>
      <c r="D71" s="62"/>
    </row>
    <row r="72" spans="1:77" s="59" customFormat="1">
      <c r="A72" s="84"/>
      <c r="B72" s="84"/>
      <c r="C72" s="85"/>
      <c r="D72" s="356"/>
      <c r="E72" s="59" t="s">
        <v>365</v>
      </c>
      <c r="G72" s="59" t="str">
        <f>smu</f>
        <v>Kes '000'</v>
      </c>
      <c r="J72" s="59">
        <f t="shared" ref="J72" si="16" xml:space="preserve"> I75</f>
        <v>0</v>
      </c>
      <c r="K72" s="59">
        <f t="shared" ref="K72" si="17" xml:space="preserve"> J75</f>
        <v>63364.100000000093</v>
      </c>
      <c r="L72" s="59">
        <f t="shared" ref="L72" si="18" xml:space="preserve"> K75</f>
        <v>84024.90000000014</v>
      </c>
      <c r="M72" s="59">
        <f t="shared" ref="M72" si="19" xml:space="preserve"> L75</f>
        <v>339761.30000000005</v>
      </c>
      <c r="N72" s="59">
        <f t="shared" ref="N72" si="20" xml:space="preserve"> M75</f>
        <v>1030947.7000000002</v>
      </c>
      <c r="O72" s="59">
        <f t="shared" ref="O72" si="21" xml:space="preserve"> N75</f>
        <v>1359132.7000000002</v>
      </c>
      <c r="P72" s="59">
        <f t="shared" ref="P72" si="22" xml:space="preserve"> O75</f>
        <v>2021608</v>
      </c>
      <c r="Q72" s="59">
        <f t="shared" ref="Q72" si="23" xml:space="preserve"> P75</f>
        <v>2536753.6384197744</v>
      </c>
      <c r="R72" s="59">
        <f t="shared" ref="R72" si="24" xml:space="preserve"> Q75</f>
        <v>3141368.7454710538</v>
      </c>
      <c r="S72" s="59">
        <f t="shared" ref="S72" si="25" xml:space="preserve"> R75</f>
        <v>3862960.9217698937</v>
      </c>
      <c r="T72" s="59">
        <f t="shared" ref="T72" si="26" xml:space="preserve"> S75</f>
        <v>4718184.9102823595</v>
      </c>
      <c r="U72" s="59">
        <f t="shared" ref="U72" si="27" xml:space="preserve"> T75</f>
        <v>5724524.482161874</v>
      </c>
      <c r="V72" s="59">
        <f t="shared" ref="V72" si="28" xml:space="preserve"> U75</f>
        <v>6936586.4518769309</v>
      </c>
      <c r="W72" s="59">
        <f t="shared" ref="W72" si="29" xml:space="preserve"> V75</f>
        <v>6936586.4518769309</v>
      </c>
      <c r="X72" s="59">
        <f t="shared" ref="X72" si="30" xml:space="preserve"> W75</f>
        <v>6936586.4518769309</v>
      </c>
      <c r="Y72" s="59">
        <f t="shared" ref="Y72" si="31" xml:space="preserve"> X75</f>
        <v>6936586.4518769309</v>
      </c>
      <c r="Z72" s="59">
        <f t="shared" ref="Z72" si="32" xml:space="preserve"> Y75</f>
        <v>6936586.4518769309</v>
      </c>
      <c r="AA72" s="59">
        <f t="shared" ref="AA72" si="33" xml:space="preserve"> Z75</f>
        <v>6936586.4518769309</v>
      </c>
      <c r="AB72" s="59">
        <f t="shared" ref="AB72" si="34" xml:space="preserve"> AA75</f>
        <v>6936586.4518769309</v>
      </c>
      <c r="AC72" s="59">
        <f t="shared" ref="AC72" si="35" xml:space="preserve"> AB75</f>
        <v>6936586.4518769309</v>
      </c>
      <c r="AD72" s="59">
        <f t="shared" ref="AD72" si="36" xml:space="preserve"> AC75</f>
        <v>6936586.4518769309</v>
      </c>
      <c r="AE72" s="59">
        <f t="shared" ref="AE72" si="37" xml:space="preserve"> AD75</f>
        <v>6936586.4518769309</v>
      </c>
      <c r="AF72" s="59">
        <f t="shared" ref="AF72" si="38" xml:space="preserve"> AE75</f>
        <v>6936586.4518769309</v>
      </c>
      <c r="AG72" s="59">
        <f t="shared" ref="AG72" si="39" xml:space="preserve"> AF75</f>
        <v>6936586.4518769309</v>
      </c>
      <c r="AH72" s="59">
        <f t="shared" ref="AH72" si="40" xml:space="preserve"> AG75</f>
        <v>6936586.4518769309</v>
      </c>
      <c r="AI72" s="59">
        <f t="shared" ref="AI72" si="41" xml:space="preserve"> AH75</f>
        <v>6936586.4518769309</v>
      </c>
      <c r="AJ72" s="59">
        <f t="shared" ref="AJ72" si="42" xml:space="preserve"> AI75</f>
        <v>6936586.4518769309</v>
      </c>
      <c r="AK72" s="59">
        <f t="shared" ref="AK72" si="43" xml:space="preserve"> AJ75</f>
        <v>6936586.4518769309</v>
      </c>
      <c r="AL72" s="59">
        <f t="shared" ref="AL72" si="44" xml:space="preserve"> AK75</f>
        <v>6936586.4518769309</v>
      </c>
      <c r="AM72" s="59">
        <f t="shared" ref="AM72" si="45" xml:space="preserve"> AL75</f>
        <v>6936586.4518769309</v>
      </c>
      <c r="AN72" s="59">
        <f t="shared" ref="AN72" si="46" xml:space="preserve"> AM75</f>
        <v>6936586.4518769309</v>
      </c>
      <c r="AO72" s="59">
        <f t="shared" ref="AO72" si="47" xml:space="preserve"> AN75</f>
        <v>6936586.4518769309</v>
      </c>
      <c r="AP72" s="59">
        <f t="shared" ref="AP72" si="48" xml:space="preserve"> AO75</f>
        <v>6936586.4518769309</v>
      </c>
      <c r="AQ72" s="59">
        <f t="shared" ref="AQ72" si="49" xml:space="preserve"> AP75</f>
        <v>6936586.4518769309</v>
      </c>
      <c r="AR72" s="59">
        <f t="shared" ref="AR72" si="50" xml:space="preserve"> AQ75</f>
        <v>6936586.4518769309</v>
      </c>
      <c r="AS72" s="59">
        <f t="shared" ref="AS72" si="51" xml:space="preserve"> AR75</f>
        <v>6936586.4518769309</v>
      </c>
      <c r="AT72" s="59">
        <f t="shared" ref="AT72" si="52" xml:space="preserve"> AS75</f>
        <v>6936586.4518769309</v>
      </c>
      <c r="AU72" s="59">
        <f t="shared" ref="AU72" si="53" xml:space="preserve"> AT75</f>
        <v>6936586.4518769309</v>
      </c>
      <c r="AV72" s="59">
        <f t="shared" ref="AV72" si="54" xml:space="preserve"> AU75</f>
        <v>6936586.4518769309</v>
      </c>
      <c r="AW72" s="59">
        <f t="shared" ref="AW72" si="55" xml:space="preserve"> AV75</f>
        <v>6936586.4518769309</v>
      </c>
      <c r="AX72" s="59">
        <f t="shared" ref="AX72" si="56" xml:space="preserve"> AW75</f>
        <v>6936586.4518769309</v>
      </c>
      <c r="AY72" s="59">
        <f t="shared" ref="AY72" si="57" xml:space="preserve"> AX75</f>
        <v>6936586.4518769309</v>
      </c>
      <c r="AZ72" s="59">
        <f t="shared" ref="AZ72" si="58" xml:space="preserve"> AY75</f>
        <v>6936586.4518769309</v>
      </c>
      <c r="BA72" s="59">
        <f t="shared" ref="BA72" si="59" xml:space="preserve"> AZ75</f>
        <v>6936586.4518769309</v>
      </c>
      <c r="BB72" s="59">
        <f t="shared" ref="BB72" si="60" xml:space="preserve"> BA75</f>
        <v>6936586.4518769309</v>
      </c>
      <c r="BC72" s="59">
        <f t="shared" ref="BC72" si="61" xml:space="preserve"> BB75</f>
        <v>6936586.4518769309</v>
      </c>
      <c r="BD72" s="59">
        <f t="shared" ref="BD72" si="62" xml:space="preserve"> BC75</f>
        <v>6936586.4518769309</v>
      </c>
      <c r="BE72" s="59">
        <f t="shared" ref="BE72" si="63" xml:space="preserve"> BD75</f>
        <v>6936586.4518769309</v>
      </c>
      <c r="BF72" s="59">
        <f t="shared" ref="BF72" si="64" xml:space="preserve"> BE75</f>
        <v>6936586.4518769309</v>
      </c>
      <c r="BG72" s="59">
        <f t="shared" ref="BG72" si="65" xml:space="preserve"> BF75</f>
        <v>6936586.4518769309</v>
      </c>
      <c r="BH72" s="59">
        <f t="shared" ref="BH72" si="66" xml:space="preserve"> BG75</f>
        <v>6936586.4518769309</v>
      </c>
      <c r="BI72" s="59">
        <f t="shared" ref="BI72" si="67" xml:space="preserve"> BH75</f>
        <v>6936586.4518769309</v>
      </c>
      <c r="BJ72" s="59">
        <f t="shared" ref="BJ72" si="68" xml:space="preserve"> BI75</f>
        <v>6936586.4518769309</v>
      </c>
      <c r="BK72" s="59">
        <f t="shared" ref="BK72" si="69" xml:space="preserve"> BJ75</f>
        <v>6936586.4518769309</v>
      </c>
      <c r="BL72" s="59">
        <f t="shared" ref="BL72" si="70" xml:space="preserve"> BK75</f>
        <v>6936586.4518769309</v>
      </c>
      <c r="BM72" s="59">
        <f t="shared" ref="BM72" si="71" xml:space="preserve"> BL75</f>
        <v>6936586.4518769309</v>
      </c>
      <c r="BN72" s="59">
        <f t="shared" ref="BN72" si="72" xml:space="preserve"> BM75</f>
        <v>6936586.4518769309</v>
      </c>
      <c r="BO72" s="59">
        <f t="shared" ref="BO72" si="73" xml:space="preserve"> BN75</f>
        <v>6936586.4518769309</v>
      </c>
      <c r="BP72" s="59">
        <f t="shared" ref="BP72" si="74" xml:space="preserve"> BO75</f>
        <v>6936586.4518769309</v>
      </c>
      <c r="BQ72" s="59">
        <f t="shared" ref="BQ72" si="75" xml:space="preserve"> BP75</f>
        <v>6936586.4518769309</v>
      </c>
      <c r="BR72" s="59">
        <f t="shared" ref="BR72" si="76" xml:space="preserve"> BQ75</f>
        <v>6936586.4518769309</v>
      </c>
      <c r="BS72" s="59">
        <f t="shared" ref="BS72" si="77" xml:space="preserve"> BR75</f>
        <v>6936586.4518769309</v>
      </c>
      <c r="BT72" s="59">
        <f t="shared" ref="BT72" si="78" xml:space="preserve"> BS75</f>
        <v>6936586.4518769309</v>
      </c>
      <c r="BU72" s="59">
        <f t="shared" ref="BU72" si="79" xml:space="preserve"> BT75</f>
        <v>6936586.4518769309</v>
      </c>
      <c r="BV72" s="59">
        <f xml:space="preserve"> BU75</f>
        <v>6936586.4518769309</v>
      </c>
      <c r="BW72" s="59">
        <f xml:space="preserve"> BV75</f>
        <v>6936586.4518769309</v>
      </c>
      <c r="BX72" s="59">
        <f xml:space="preserve"> BW75</f>
        <v>6936586.4518769309</v>
      </c>
      <c r="BY72" s="59">
        <f xml:space="preserve"> BX75</f>
        <v>6936586.4518769309</v>
      </c>
    </row>
    <row r="73" spans="1:77" s="59" customFormat="1">
      <c r="A73" s="84"/>
      <c r="B73" s="84"/>
      <c r="C73" s="85"/>
      <c r="D73" s="356" t="s">
        <v>35</v>
      </c>
      <c r="E73" s="367" t="str">
        <f xml:space="preserve"> FinStat!E$25</f>
        <v>Total Net Profit After Tax</v>
      </c>
      <c r="F73" s="367">
        <f xml:space="preserve"> FinStat!F$25</f>
        <v>0</v>
      </c>
      <c r="G73" s="367" t="str">
        <f xml:space="preserve"> FinStat!G$25</f>
        <v>Kes '000'</v>
      </c>
      <c r="H73" s="367">
        <f xml:space="preserve"> FinStat!H$25</f>
        <v>65119661.718769357</v>
      </c>
      <c r="I73" s="367">
        <f xml:space="preserve"> FinStat!I$25</f>
        <v>0</v>
      </c>
      <c r="J73" s="367">
        <f xml:space="preserve"> FinStat!J$25</f>
        <v>1763364.1</v>
      </c>
      <c r="K73" s="367">
        <f xml:space="preserve"> FinStat!K$25</f>
        <v>1495660.8</v>
      </c>
      <c r="L73" s="367">
        <f xml:space="preserve"> FinStat!L$25</f>
        <v>1705736.4</v>
      </c>
      <c r="M73" s="367">
        <f xml:space="preserve"> FinStat!M$25</f>
        <v>3741186.4000000004</v>
      </c>
      <c r="N73" s="367">
        <f xml:space="preserve"> FinStat!N$25</f>
        <v>3578185</v>
      </c>
      <c r="O73" s="367">
        <f xml:space="preserve"> FinStat!O$25</f>
        <v>3685744.5</v>
      </c>
      <c r="P73" s="367">
        <f xml:space="preserve"> FinStat!P$25</f>
        <v>5151456.3841977436</v>
      </c>
      <c r="Q73" s="367">
        <f xml:space="preserve"> FinStat!Q$25</f>
        <v>6046151.0705127949</v>
      </c>
      <c r="R73" s="367">
        <f xml:space="preserve"> FinStat!R$25</f>
        <v>7215921.7629884072</v>
      </c>
      <c r="S73" s="367">
        <f xml:space="preserve"> FinStat!S$25</f>
        <v>8552239.8851246536</v>
      </c>
      <c r="T73" s="367">
        <f xml:space="preserve"> FinStat!T$25</f>
        <v>10063395.718795158</v>
      </c>
      <c r="U73" s="367">
        <f xml:space="preserve"> FinStat!U$25</f>
        <v>12120619.697150595</v>
      </c>
      <c r="V73" s="367">
        <f xml:space="preserve"> FinStat!V$25</f>
        <v>0</v>
      </c>
      <c r="W73" s="367">
        <f xml:space="preserve"> FinStat!W$25</f>
        <v>0</v>
      </c>
    </row>
    <row r="74" spans="1:77" s="59" customFormat="1">
      <c r="A74" s="84"/>
      <c r="B74" s="84"/>
      <c r="C74" s="85"/>
      <c r="D74" s="356" t="s">
        <v>36</v>
      </c>
      <c r="E74" s="367" t="str">
        <f xml:space="preserve"> FinStat!E$29</f>
        <v>Total Dividends Actuals</v>
      </c>
      <c r="F74" s="367">
        <f xml:space="preserve"> FinStat!F$29</f>
        <v>0</v>
      </c>
      <c r="G74" s="367" t="str">
        <f xml:space="preserve"> FinStat!G$29</f>
        <v>Kes '000'</v>
      </c>
      <c r="H74" s="367">
        <f xml:space="preserve"> FinStat!H$29</f>
        <v>58859806.066892415</v>
      </c>
      <c r="I74" s="367">
        <f xml:space="preserve"> FinStat!I$29</f>
        <v>0</v>
      </c>
      <c r="J74" s="367">
        <f xml:space="preserve"> FinStat!J$29</f>
        <v>1700000</v>
      </c>
      <c r="K74" s="367">
        <f xml:space="preserve"> FinStat!K$29</f>
        <v>1475000</v>
      </c>
      <c r="L74" s="367">
        <f xml:space="preserve"> FinStat!L$29</f>
        <v>1450000</v>
      </c>
      <c r="M74" s="367">
        <f xml:space="preserve"> FinStat!M$29</f>
        <v>3050000</v>
      </c>
      <c r="N74" s="367">
        <f xml:space="preserve"> FinStat!N$29</f>
        <v>3250000</v>
      </c>
      <c r="O74" s="367">
        <f xml:space="preserve"> FinStat!O$29</f>
        <v>3700000</v>
      </c>
      <c r="P74" s="367">
        <f xml:space="preserve"> FinStat!P$29</f>
        <v>4636310.7457779692</v>
      </c>
      <c r="Q74" s="367">
        <f xml:space="preserve"> FinStat!Q$29</f>
        <v>5441535.9634615155</v>
      </c>
      <c r="R74" s="367">
        <f xml:space="preserve"> FinStat!R$29</f>
        <v>6494329.5866895663</v>
      </c>
      <c r="S74" s="367">
        <f xml:space="preserve"> FinStat!S$29</f>
        <v>7697015.8966121888</v>
      </c>
      <c r="T74" s="367">
        <f xml:space="preserve"> FinStat!T$29</f>
        <v>9057056.1469156425</v>
      </c>
      <c r="U74" s="367">
        <f xml:space="preserve"> FinStat!U$29</f>
        <v>10908557.727435537</v>
      </c>
      <c r="V74" s="367">
        <f xml:space="preserve"> FinStat!V$29</f>
        <v>0</v>
      </c>
      <c r="W74" s="367">
        <f xml:space="preserve"> FinStat!W$29</f>
        <v>0</v>
      </c>
    </row>
    <row r="75" spans="1:77" s="114" customFormat="1">
      <c r="A75" s="384"/>
      <c r="B75" s="384"/>
      <c r="C75" s="385"/>
      <c r="D75" s="386"/>
      <c r="E75" s="114" t="s">
        <v>366</v>
      </c>
      <c r="G75" s="114" t="str">
        <f>smu</f>
        <v>Kes '000'</v>
      </c>
      <c r="J75" s="114">
        <f xml:space="preserve"> IF(J70 = 1, $F69, J72 + J73 - J74)</f>
        <v>63364.100000000093</v>
      </c>
      <c r="K75" s="114">
        <f t="shared" ref="K75:BV75" si="80" xml:space="preserve"> IF(K70 = 1, $F69, K72 + K73 - K74)</f>
        <v>84024.90000000014</v>
      </c>
      <c r="L75" s="114">
        <f t="shared" si="80"/>
        <v>339761.30000000005</v>
      </c>
      <c r="M75" s="114">
        <f t="shared" si="80"/>
        <v>1030947.7000000002</v>
      </c>
      <c r="N75" s="114">
        <f t="shared" si="80"/>
        <v>1359132.7000000002</v>
      </c>
      <c r="O75" s="114">
        <f t="shared" si="80"/>
        <v>2021608</v>
      </c>
      <c r="P75" s="114">
        <f t="shared" si="80"/>
        <v>2536753.6384197744</v>
      </c>
      <c r="Q75" s="114">
        <f t="shared" si="80"/>
        <v>3141368.7454710538</v>
      </c>
      <c r="R75" s="114">
        <f t="shared" si="80"/>
        <v>3862960.9217698937</v>
      </c>
      <c r="S75" s="114">
        <f t="shared" si="80"/>
        <v>4718184.9102823595</v>
      </c>
      <c r="T75" s="114">
        <f t="shared" si="80"/>
        <v>5724524.482161874</v>
      </c>
      <c r="U75" s="114">
        <f t="shared" si="80"/>
        <v>6936586.4518769309</v>
      </c>
      <c r="V75" s="114">
        <f t="shared" si="80"/>
        <v>6936586.4518769309</v>
      </c>
      <c r="W75" s="114">
        <f t="shared" si="80"/>
        <v>6936586.4518769309</v>
      </c>
      <c r="X75" s="114">
        <f t="shared" si="80"/>
        <v>6936586.4518769309</v>
      </c>
      <c r="Y75" s="114">
        <f t="shared" si="80"/>
        <v>6936586.4518769309</v>
      </c>
      <c r="Z75" s="114">
        <f t="shared" si="80"/>
        <v>6936586.4518769309</v>
      </c>
      <c r="AA75" s="114">
        <f t="shared" si="80"/>
        <v>6936586.4518769309</v>
      </c>
      <c r="AB75" s="114">
        <f t="shared" si="80"/>
        <v>6936586.4518769309</v>
      </c>
      <c r="AC75" s="114">
        <f t="shared" si="80"/>
        <v>6936586.4518769309</v>
      </c>
      <c r="AD75" s="114">
        <f t="shared" si="80"/>
        <v>6936586.4518769309</v>
      </c>
      <c r="AE75" s="114">
        <f t="shared" si="80"/>
        <v>6936586.4518769309</v>
      </c>
      <c r="AF75" s="114">
        <f t="shared" si="80"/>
        <v>6936586.4518769309</v>
      </c>
      <c r="AG75" s="114">
        <f t="shared" si="80"/>
        <v>6936586.4518769309</v>
      </c>
      <c r="AH75" s="114">
        <f t="shared" si="80"/>
        <v>6936586.4518769309</v>
      </c>
      <c r="AI75" s="114">
        <f t="shared" si="80"/>
        <v>6936586.4518769309</v>
      </c>
      <c r="AJ75" s="114">
        <f t="shared" si="80"/>
        <v>6936586.4518769309</v>
      </c>
      <c r="AK75" s="114">
        <f t="shared" si="80"/>
        <v>6936586.4518769309</v>
      </c>
      <c r="AL75" s="114">
        <f t="shared" si="80"/>
        <v>6936586.4518769309</v>
      </c>
      <c r="AM75" s="114">
        <f t="shared" si="80"/>
        <v>6936586.4518769309</v>
      </c>
      <c r="AN75" s="114">
        <f t="shared" si="80"/>
        <v>6936586.4518769309</v>
      </c>
      <c r="AO75" s="114">
        <f t="shared" si="80"/>
        <v>6936586.4518769309</v>
      </c>
      <c r="AP75" s="114">
        <f t="shared" si="80"/>
        <v>6936586.4518769309</v>
      </c>
      <c r="AQ75" s="114">
        <f t="shared" si="80"/>
        <v>6936586.4518769309</v>
      </c>
      <c r="AR75" s="114">
        <f t="shared" si="80"/>
        <v>6936586.4518769309</v>
      </c>
      <c r="AS75" s="114">
        <f t="shared" si="80"/>
        <v>6936586.4518769309</v>
      </c>
      <c r="AT75" s="114">
        <f t="shared" si="80"/>
        <v>6936586.4518769309</v>
      </c>
      <c r="AU75" s="114">
        <f t="shared" si="80"/>
        <v>6936586.4518769309</v>
      </c>
      <c r="AV75" s="114">
        <f t="shared" si="80"/>
        <v>6936586.4518769309</v>
      </c>
      <c r="AW75" s="114">
        <f t="shared" si="80"/>
        <v>6936586.4518769309</v>
      </c>
      <c r="AX75" s="114">
        <f t="shared" si="80"/>
        <v>6936586.4518769309</v>
      </c>
      <c r="AY75" s="114">
        <f t="shared" si="80"/>
        <v>6936586.4518769309</v>
      </c>
      <c r="AZ75" s="114">
        <f t="shared" si="80"/>
        <v>6936586.4518769309</v>
      </c>
      <c r="BA75" s="114">
        <f t="shared" si="80"/>
        <v>6936586.4518769309</v>
      </c>
      <c r="BB75" s="114">
        <f t="shared" si="80"/>
        <v>6936586.4518769309</v>
      </c>
      <c r="BC75" s="114">
        <f t="shared" si="80"/>
        <v>6936586.4518769309</v>
      </c>
      <c r="BD75" s="114">
        <f t="shared" si="80"/>
        <v>6936586.4518769309</v>
      </c>
      <c r="BE75" s="114">
        <f t="shared" si="80"/>
        <v>6936586.4518769309</v>
      </c>
      <c r="BF75" s="114">
        <f t="shared" si="80"/>
        <v>6936586.4518769309</v>
      </c>
      <c r="BG75" s="114">
        <f t="shared" si="80"/>
        <v>6936586.4518769309</v>
      </c>
      <c r="BH75" s="114">
        <f t="shared" si="80"/>
        <v>6936586.4518769309</v>
      </c>
      <c r="BI75" s="114">
        <f t="shared" si="80"/>
        <v>6936586.4518769309</v>
      </c>
      <c r="BJ75" s="114">
        <f t="shared" si="80"/>
        <v>6936586.4518769309</v>
      </c>
      <c r="BK75" s="114">
        <f t="shared" si="80"/>
        <v>6936586.4518769309</v>
      </c>
      <c r="BL75" s="114">
        <f t="shared" si="80"/>
        <v>6936586.4518769309</v>
      </c>
      <c r="BM75" s="114">
        <f t="shared" si="80"/>
        <v>6936586.4518769309</v>
      </c>
      <c r="BN75" s="114">
        <f t="shared" si="80"/>
        <v>6936586.4518769309</v>
      </c>
      <c r="BO75" s="114">
        <f t="shared" si="80"/>
        <v>6936586.4518769309</v>
      </c>
      <c r="BP75" s="114">
        <f t="shared" si="80"/>
        <v>6936586.4518769309</v>
      </c>
      <c r="BQ75" s="114">
        <f t="shared" si="80"/>
        <v>6936586.4518769309</v>
      </c>
      <c r="BR75" s="114">
        <f t="shared" si="80"/>
        <v>6936586.4518769309</v>
      </c>
      <c r="BS75" s="114">
        <f t="shared" si="80"/>
        <v>6936586.4518769309</v>
      </c>
      <c r="BT75" s="114">
        <f t="shared" si="80"/>
        <v>6936586.4518769309</v>
      </c>
      <c r="BU75" s="114">
        <f t="shared" si="80"/>
        <v>6936586.4518769309</v>
      </c>
      <c r="BV75" s="114">
        <f t="shared" si="80"/>
        <v>6936586.4518769309</v>
      </c>
      <c r="BW75" s="114">
        <f xml:space="preserve"> IF(BW70 = 1, $F69, BW72 + BW73 - BW74)</f>
        <v>6936586.4518769309</v>
      </c>
      <c r="BX75" s="114">
        <f xml:space="preserve"> IF(BX70 = 1, $F69, BX72 + BX73 - BX74)</f>
        <v>6936586.4518769309</v>
      </c>
      <c r="BY75" s="114">
        <f xml:space="preserve"> IF(BY70 = 1, $F69, BY72 + BY73 - BY74)</f>
        <v>6936586.4518769309</v>
      </c>
    </row>
    <row r="76" spans="1:77">
      <c r="E76" s="282" t="str">
        <f xml:space="preserve"> Time!E$43</f>
        <v>Forecast period flag</v>
      </c>
      <c r="F76" s="282">
        <f xml:space="preserve"> Time!F$43</f>
        <v>0</v>
      </c>
      <c r="G76" s="282" t="str">
        <f xml:space="preserve"> Time!G$43</f>
        <v>flag</v>
      </c>
      <c r="H76" s="282">
        <f xml:space="preserve"> Time!H$43</f>
        <v>6</v>
      </c>
      <c r="I76" s="282">
        <f xml:space="preserve"> Time!I$43</f>
        <v>0</v>
      </c>
      <c r="J76" s="282">
        <f xml:space="preserve"> Time!J$43</f>
        <v>0</v>
      </c>
      <c r="K76" s="282">
        <f xml:space="preserve"> Time!K$43</f>
        <v>0</v>
      </c>
      <c r="L76" s="282">
        <f xml:space="preserve"> Time!L$43</f>
        <v>0</v>
      </c>
      <c r="M76" s="282">
        <f xml:space="preserve"> Time!M$43</f>
        <v>0</v>
      </c>
      <c r="N76" s="282">
        <f xml:space="preserve"> Time!N$43</f>
        <v>0</v>
      </c>
      <c r="O76" s="282">
        <f xml:space="preserve"> Time!O$43</f>
        <v>0</v>
      </c>
      <c r="P76" s="282">
        <f xml:space="preserve"> Time!P$43</f>
        <v>1</v>
      </c>
      <c r="Q76" s="282">
        <f xml:space="preserve"> Time!Q$43</f>
        <v>1</v>
      </c>
      <c r="R76" s="282">
        <f xml:space="preserve"> Time!R$43</f>
        <v>1</v>
      </c>
      <c r="S76" s="282">
        <f xml:space="preserve"> Time!S$43</f>
        <v>1</v>
      </c>
      <c r="T76" s="282">
        <f xml:space="preserve"> Time!T$43</f>
        <v>1</v>
      </c>
      <c r="U76" s="282">
        <f xml:space="preserve"> Time!U$43</f>
        <v>1</v>
      </c>
      <c r="V76" s="282">
        <f xml:space="preserve"> Time!V$43</f>
        <v>0</v>
      </c>
      <c r="W76" s="282">
        <f xml:space="preserve"> Time!W$43</f>
        <v>0</v>
      </c>
    </row>
    <row r="77" spans="1:77" s="191" customFormat="1">
      <c r="A77" s="188"/>
      <c r="B77" s="189"/>
      <c r="C77" s="291"/>
      <c r="D77" s="190"/>
      <c r="E77" s="191" t="str">
        <f>"Forecast"&amp;" "&amp;E75</f>
        <v>Forecast Retained Earnings balance</v>
      </c>
      <c r="F77" s="191" t="s">
        <v>251</v>
      </c>
      <c r="G77" s="191" t="str">
        <f>smu</f>
        <v>Kes '000'</v>
      </c>
      <c r="H77" s="191">
        <f xml:space="preserve"> SUM(J77:W77)</f>
        <v>26920379.149981886</v>
      </c>
      <c r="J77" s="191">
        <f>J75*J76</f>
        <v>0</v>
      </c>
      <c r="K77" s="191">
        <f t="shared" ref="K77:W77" si="81">K75*K76</f>
        <v>0</v>
      </c>
      <c r="L77" s="191">
        <f t="shared" si="81"/>
        <v>0</v>
      </c>
      <c r="M77" s="191">
        <f t="shared" si="81"/>
        <v>0</v>
      </c>
      <c r="N77" s="191">
        <f t="shared" si="81"/>
        <v>0</v>
      </c>
      <c r="O77" s="191">
        <f t="shared" si="81"/>
        <v>0</v>
      </c>
      <c r="P77" s="191">
        <f t="shared" si="81"/>
        <v>2536753.6384197744</v>
      </c>
      <c r="Q77" s="191">
        <f t="shared" si="81"/>
        <v>3141368.7454710538</v>
      </c>
      <c r="R77" s="191">
        <f t="shared" si="81"/>
        <v>3862960.9217698937</v>
      </c>
      <c r="S77" s="191">
        <f t="shared" si="81"/>
        <v>4718184.9102823595</v>
      </c>
      <c r="T77" s="191">
        <f t="shared" si="81"/>
        <v>5724524.482161874</v>
      </c>
      <c r="U77" s="191">
        <f t="shared" si="81"/>
        <v>6936586.4518769309</v>
      </c>
      <c r="V77" s="191">
        <f t="shared" si="81"/>
        <v>0</v>
      </c>
      <c r="W77" s="191">
        <f t="shared" si="81"/>
        <v>0</v>
      </c>
    </row>
  </sheetData>
  <conditionalFormatting sqref="F2">
    <cfRule type="cellIs" dxfId="19" priority="1" stopIfTrue="1" operator="notEqual">
      <formula>0</formula>
    </cfRule>
    <cfRule type="cellIs" dxfId="18" priority="2" stopIfTrue="1" operator="equal">
      <formula>""</formula>
    </cfRule>
  </conditionalFormatting>
  <conditionalFormatting sqref="J3:BY3">
    <cfRule type="cellIs" dxfId="17" priority="5" stopIfTrue="1" operator="equal">
      <formula>"Pre-forecast"</formula>
    </cfRule>
    <cfRule type="cellIs" dxfId="16"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theme="0" tint="-0.14999847407452621"/>
    <outlinePr summaryBelow="0" summaryRight="0"/>
  </sheetPr>
  <dimension ref="A1:BY93"/>
  <sheetViews>
    <sheetView defaultGridColor="0" colorId="22" zoomScale="80" workbookViewId="0">
      <pane xSplit="9" ySplit="5" topLeftCell="J69" activePane="bottomRight" state="frozen"/>
      <selection activeCell="F2" sqref="F2"/>
      <selection pane="topRight" activeCell="F2" sqref="F2"/>
      <selection pane="bottomLeft" activeCell="F2" sqref="F2"/>
      <selection pane="bottomRight" activeCell="F99" sqref="F99"/>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5.140625" style="58" bestFit="1" customWidth="1"/>
    <col min="6" max="6" width="12.7109375" style="58" customWidth="1"/>
    <col min="7" max="7" width="11.7109375" style="58" customWidth="1"/>
    <col min="8" max="8" width="13.42578125" style="58" bestFit="1" customWidth="1"/>
    <col min="9" max="9" width="2.7109375" style="58" customWidth="1"/>
    <col min="10" max="10" width="12.7109375" style="58" bestFit="1" customWidth="1"/>
    <col min="11" max="12" width="11.7109375" style="58" customWidth="1"/>
    <col min="13" max="15" width="12.7109375" style="58" bestFit="1" customWidth="1"/>
    <col min="16" max="22" width="12.28515625" style="58" bestFit="1" customWidth="1"/>
    <col min="23"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WorkCap</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c r="B7" s="131" t="s">
        <v>367</v>
      </c>
      <c r="C7" s="132"/>
      <c r="D7" s="133"/>
    </row>
    <row r="9" spans="1:77">
      <c r="C9" s="16" t="s">
        <v>368</v>
      </c>
    </row>
    <row r="11" spans="1:77">
      <c r="E11" s="282" t="str">
        <f xml:space="preserve"> InpC!E$24</f>
        <v>Days in year</v>
      </c>
      <c r="F11" s="282">
        <f xml:space="preserve"> InpC!F$24</f>
        <v>365</v>
      </c>
      <c r="G11" s="282" t="str">
        <f xml:space="preserve"> InpC!G$24</f>
        <v>days</v>
      </c>
      <c r="H11" s="282"/>
      <c r="I11" s="282"/>
      <c r="J11" s="282"/>
      <c r="K11" s="282"/>
      <c r="L11" s="282"/>
      <c r="M11" s="282"/>
      <c r="N11" s="282"/>
      <c r="O11" s="282"/>
      <c r="P11" s="282"/>
      <c r="Q11" s="282"/>
      <c r="R11" s="282"/>
      <c r="S11" s="282"/>
      <c r="T11" s="282"/>
      <c r="U11" s="282"/>
      <c r="V11" s="282"/>
      <c r="W11" s="282"/>
    </row>
    <row r="12" spans="1:77">
      <c r="E12" s="282" t="str">
        <f xml:space="preserve"> FinStat!E$38</f>
        <v>Inventories</v>
      </c>
      <c r="F12" s="282">
        <f xml:space="preserve"> FinStat!F$38</f>
        <v>0</v>
      </c>
      <c r="G12" s="282" t="str">
        <f xml:space="preserve"> FinStat!G$38</f>
        <v>Kes '000'</v>
      </c>
      <c r="H12" s="282">
        <f xml:space="preserve"> FinStat!H$38</f>
        <v>0</v>
      </c>
      <c r="I12" s="282">
        <f xml:space="preserve"> FinStat!I$38</f>
        <v>0</v>
      </c>
      <c r="J12" s="282">
        <f xml:space="preserve"> FinStat!J$38</f>
        <v>2085678</v>
      </c>
      <c r="K12" s="282">
        <f xml:space="preserve"> FinStat!K$38</f>
        <v>2299571</v>
      </c>
      <c r="L12" s="282">
        <f xml:space="preserve"> FinStat!L$38</f>
        <v>2972758</v>
      </c>
      <c r="M12" s="282">
        <f xml:space="preserve"> FinStat!M$38</f>
        <v>4374777</v>
      </c>
      <c r="N12" s="282">
        <f xml:space="preserve"> FinStat!N$38</f>
        <v>4393589</v>
      </c>
      <c r="O12" s="282">
        <f xml:space="preserve"> FinStat!O$38</f>
        <v>4482067</v>
      </c>
      <c r="P12" s="282">
        <f xml:space="preserve"> FinStat!P$38</f>
        <v>4653101.461438356</v>
      </c>
      <c r="Q12" s="282">
        <f xml:space="preserve"> FinStat!Q$38</f>
        <v>5482935.382654109</v>
      </c>
      <c r="R12" s="282">
        <f xml:space="preserve"> FinStat!R$38</f>
        <v>6463618.1324522253</v>
      </c>
      <c r="S12" s="282">
        <f xml:space="preserve"> FinStat!S$38</f>
        <v>7623051.7832000591</v>
      </c>
      <c r="T12" s="282">
        <f xml:space="preserve"> FinStat!T$38</f>
        <v>8994378.6677360684</v>
      </c>
      <c r="U12" s="282">
        <f xml:space="preserve"> FinStat!U$38</f>
        <v>10616978.408363678</v>
      </c>
      <c r="V12" s="282">
        <f xml:space="preserve"> FinStat!V$38</f>
        <v>0</v>
      </c>
      <c r="W12" s="282">
        <f xml:space="preserve"> FinStat!W$38</f>
        <v>0</v>
      </c>
    </row>
    <row r="13" spans="1:77">
      <c r="E13" s="282" t="str">
        <f xml:space="preserve"> FinStat!E$12</f>
        <v>Cost Of sales Actuals</v>
      </c>
      <c r="F13" s="282">
        <f xml:space="preserve"> FinStat!F$12</f>
        <v>0</v>
      </c>
      <c r="G13" s="282" t="str">
        <f xml:space="preserve"> FinStat!G$12</f>
        <v>Kes '000'</v>
      </c>
      <c r="H13" s="282">
        <f xml:space="preserve"> FinStat!H$12</f>
        <v>-160001368.31349143</v>
      </c>
      <c r="I13" s="282">
        <f xml:space="preserve"> FinStat!I$12</f>
        <v>0</v>
      </c>
      <c r="J13" s="282">
        <f xml:space="preserve"> FinStat!J$12</f>
        <v>-5142870</v>
      </c>
      <c r="K13" s="282">
        <f xml:space="preserve"> FinStat!K$12</f>
        <v>-5676057</v>
      </c>
      <c r="L13" s="282">
        <f xml:space="preserve"> FinStat!L$12</f>
        <v>-7512977</v>
      </c>
      <c r="M13" s="282">
        <f xml:space="preserve"> FinStat!M$12</f>
        <v>-11321085</v>
      </c>
      <c r="N13" s="282">
        <f xml:space="preserve"> FinStat!N$12</f>
        <v>-11030029</v>
      </c>
      <c r="O13" s="282">
        <f xml:space="preserve"> FinStat!O$12</f>
        <v>-10478668</v>
      </c>
      <c r="P13" s="282">
        <f xml:space="preserve"> FinStat!P$12</f>
        <v>-11553619.274999999</v>
      </c>
      <c r="Q13" s="282">
        <f xml:space="preserve"> FinStat!Q$12</f>
        <v>-13614091.256249998</v>
      </c>
      <c r="R13" s="282">
        <f xml:space="preserve"> FinStat!R$12</f>
        <v>-16049119.852687499</v>
      </c>
      <c r="S13" s="282">
        <f xml:space="preserve"> FinStat!S$12</f>
        <v>-18927985.720190622</v>
      </c>
      <c r="T13" s="282">
        <f xml:space="preserve"> FinStat!T$12</f>
        <v>-22332981.045739215</v>
      </c>
      <c r="U13" s="282">
        <f xml:space="preserve"> FinStat!U$12</f>
        <v>-26361885.163624097</v>
      </c>
      <c r="V13" s="282">
        <f xml:space="preserve"> FinStat!V$12</f>
        <v>0</v>
      </c>
      <c r="W13" s="282">
        <f xml:space="preserve"> FinStat!W$12</f>
        <v>0</v>
      </c>
    </row>
    <row r="14" spans="1:77">
      <c r="E14" s="58" t="s">
        <v>368</v>
      </c>
      <c r="F14" s="58">
        <f>AVERAGE(J14:W14)</f>
        <v>147.07352220239457</v>
      </c>
      <c r="G14" s="58" t="s">
        <v>370</v>
      </c>
      <c r="J14" s="58">
        <f>IF(AND(J13&lt;&gt;0,J12&lt;&gt;0),ABS($F$11/(J13/J12)),"NA")</f>
        <v>148.02483243791892</v>
      </c>
      <c r="K14" s="58">
        <f t="shared" ref="K14:W14" si="0">IF(AND(K13&lt;&gt;0,K12&lt;&gt;0),ABS($F$11/(K13/K12)),"NA")</f>
        <v>147.87438093028311</v>
      </c>
      <c r="L14" s="58">
        <f t="shared" si="0"/>
        <v>144.42433006250386</v>
      </c>
      <c r="M14" s="58">
        <f t="shared" si="0"/>
        <v>141.04598675833631</v>
      </c>
      <c r="N14" s="58">
        <f t="shared" si="0"/>
        <v>145.39036887391683</v>
      </c>
      <c r="O14" s="58">
        <f t="shared" si="0"/>
        <v>156.12236736577589</v>
      </c>
      <c r="P14" s="58">
        <f t="shared" si="0"/>
        <v>147</v>
      </c>
      <c r="Q14" s="58">
        <f t="shared" si="0"/>
        <v>147</v>
      </c>
      <c r="R14" s="58">
        <f t="shared" si="0"/>
        <v>147</v>
      </c>
      <c r="S14" s="58">
        <f t="shared" si="0"/>
        <v>147</v>
      </c>
      <c r="T14" s="58">
        <f t="shared" si="0"/>
        <v>147</v>
      </c>
      <c r="U14" s="58">
        <f t="shared" si="0"/>
        <v>147</v>
      </c>
      <c r="V14" s="58" t="str">
        <f t="shared" si="0"/>
        <v>NA</v>
      </c>
      <c r="W14" s="58" t="str">
        <f t="shared" si="0"/>
        <v>NA</v>
      </c>
    </row>
    <row r="16" spans="1:77">
      <c r="C16" s="16" t="s">
        <v>369</v>
      </c>
    </row>
    <row r="18" spans="1:23">
      <c r="E18" s="282" t="str">
        <f xml:space="preserve"> InpS!E$50</f>
        <v>Forecast Inventory Days</v>
      </c>
      <c r="F18" s="282">
        <f xml:space="preserve"> InpS!F$50</f>
        <v>0</v>
      </c>
      <c r="G18" s="282" t="str">
        <f xml:space="preserve"> InpS!G$50</f>
        <v>Days</v>
      </c>
      <c r="H18" s="282">
        <f xml:space="preserve"> InpS!H$50</f>
        <v>0</v>
      </c>
      <c r="I18" s="282">
        <f xml:space="preserve"> InpS!I$50</f>
        <v>0</v>
      </c>
      <c r="J18" s="282">
        <f xml:space="preserve"> InpS!J$50</f>
        <v>0</v>
      </c>
      <c r="K18" s="282">
        <f xml:space="preserve"> InpS!K$50</f>
        <v>0</v>
      </c>
      <c r="L18" s="282">
        <f xml:space="preserve"> InpS!L$50</f>
        <v>0</v>
      </c>
      <c r="M18" s="282">
        <f xml:space="preserve"> InpS!M$50</f>
        <v>0</v>
      </c>
      <c r="N18" s="282">
        <f xml:space="preserve"> InpS!N$50</f>
        <v>0</v>
      </c>
      <c r="O18" s="282">
        <f xml:space="preserve"> InpS!O$50</f>
        <v>0</v>
      </c>
      <c r="P18" s="282">
        <f xml:space="preserve"> InpS!P$50</f>
        <v>147</v>
      </c>
      <c r="Q18" s="282">
        <f xml:space="preserve"> InpS!Q$50</f>
        <v>147</v>
      </c>
      <c r="R18" s="282">
        <f xml:space="preserve"> InpS!R$50</f>
        <v>147</v>
      </c>
      <c r="S18" s="282">
        <f xml:space="preserve"> InpS!S$50</f>
        <v>147</v>
      </c>
      <c r="T18" s="282">
        <f xml:space="preserve"> InpS!T$50</f>
        <v>147</v>
      </c>
      <c r="U18" s="282">
        <f xml:space="preserve"> InpS!U$50</f>
        <v>147</v>
      </c>
      <c r="V18" s="282">
        <f xml:space="preserve"> InpS!V$50</f>
        <v>147</v>
      </c>
      <c r="W18" s="282">
        <f xml:space="preserve"> InpS!W$50</f>
        <v>147</v>
      </c>
    </row>
    <row r="20" spans="1:23">
      <c r="C20" s="16" t="s">
        <v>367</v>
      </c>
    </row>
    <row r="22" spans="1:23">
      <c r="E22" s="282" t="str">
        <f xml:space="preserve"> InpC!E$24</f>
        <v>Days in year</v>
      </c>
      <c r="F22" s="282">
        <f xml:space="preserve"> InpC!F$24</f>
        <v>365</v>
      </c>
      <c r="G22" s="282" t="str">
        <f xml:space="preserve"> InpC!G$24</f>
        <v>days</v>
      </c>
      <c r="H22" s="27"/>
      <c r="I22" s="27"/>
      <c r="J22" s="27"/>
      <c r="K22" s="27"/>
      <c r="L22" s="27"/>
      <c r="M22" s="27"/>
      <c r="N22" s="27"/>
      <c r="O22" s="27"/>
      <c r="P22" s="27"/>
      <c r="Q22" s="27"/>
      <c r="R22" s="27"/>
      <c r="S22" s="27"/>
      <c r="T22" s="27"/>
      <c r="U22" s="27"/>
      <c r="V22" s="27"/>
      <c r="W22" s="27"/>
    </row>
    <row r="23" spans="1:23">
      <c r="E23" s="282" t="str">
        <f xml:space="preserve"> OpCost!E$24</f>
        <v>Forecast Cost of Sales</v>
      </c>
      <c r="F23" s="282">
        <f xml:space="preserve"> OpCost!F$24</f>
        <v>0</v>
      </c>
      <c r="G23" s="282" t="str">
        <f xml:space="preserve"> OpCost!G$24</f>
        <v>Kes '000'</v>
      </c>
      <c r="H23" s="282">
        <f xml:space="preserve"> OpCost!H$24</f>
        <v>-108839682.31349142</v>
      </c>
      <c r="I23" s="282">
        <f xml:space="preserve"> OpCost!I$24</f>
        <v>0</v>
      </c>
      <c r="J23" s="282">
        <f xml:space="preserve"> OpCost!J$24</f>
        <v>0</v>
      </c>
      <c r="K23" s="282">
        <f xml:space="preserve"> OpCost!K$24</f>
        <v>0</v>
      </c>
      <c r="L23" s="282">
        <f xml:space="preserve"> OpCost!L$24</f>
        <v>0</v>
      </c>
      <c r="M23" s="282">
        <f xml:space="preserve"> OpCost!M$24</f>
        <v>0</v>
      </c>
      <c r="N23" s="282">
        <f xml:space="preserve"> OpCost!N$24</f>
        <v>0</v>
      </c>
      <c r="O23" s="282">
        <f xml:space="preserve"> OpCost!O$24</f>
        <v>0</v>
      </c>
      <c r="P23" s="282">
        <f xml:space="preserve"> OpCost!P$24</f>
        <v>-11553619.274999999</v>
      </c>
      <c r="Q23" s="282">
        <f xml:space="preserve"> OpCost!Q$24</f>
        <v>-13614091.256249998</v>
      </c>
      <c r="R23" s="282">
        <f xml:space="preserve"> OpCost!R$24</f>
        <v>-16049119.852687499</v>
      </c>
      <c r="S23" s="282">
        <f xml:space="preserve"> OpCost!S$24</f>
        <v>-18927985.720190622</v>
      </c>
      <c r="T23" s="282">
        <f xml:space="preserve"> OpCost!T$24</f>
        <v>-22332981.045739215</v>
      </c>
      <c r="U23" s="282">
        <f xml:space="preserve"> OpCost!U$24</f>
        <v>-26361885.163624097</v>
      </c>
      <c r="V23" s="282">
        <f xml:space="preserve"> OpCost!V$24</f>
        <v>0</v>
      </c>
      <c r="W23" s="282">
        <f xml:space="preserve"> OpCost!W$24</f>
        <v>0</v>
      </c>
    </row>
    <row r="24" spans="1:23">
      <c r="E24" s="27" t="str">
        <f xml:space="preserve"> E$18</f>
        <v>Forecast Inventory Days</v>
      </c>
      <c r="F24" s="27">
        <f t="shared" ref="F24:W24" si="1" xml:space="preserve"> F$18</f>
        <v>0</v>
      </c>
      <c r="G24" s="27" t="str">
        <f t="shared" si="1"/>
        <v>Days</v>
      </c>
      <c r="H24" s="27">
        <f t="shared" si="1"/>
        <v>0</v>
      </c>
      <c r="I24" s="27">
        <f t="shared" si="1"/>
        <v>0</v>
      </c>
      <c r="J24" s="27">
        <f t="shared" si="1"/>
        <v>0</v>
      </c>
      <c r="K24" s="27">
        <f t="shared" si="1"/>
        <v>0</v>
      </c>
      <c r="L24" s="27">
        <f t="shared" si="1"/>
        <v>0</v>
      </c>
      <c r="M24" s="27">
        <f t="shared" si="1"/>
        <v>0</v>
      </c>
      <c r="N24" s="27">
        <f t="shared" si="1"/>
        <v>0</v>
      </c>
      <c r="O24" s="27">
        <f t="shared" si="1"/>
        <v>0</v>
      </c>
      <c r="P24" s="27">
        <f t="shared" si="1"/>
        <v>147</v>
      </c>
      <c r="Q24" s="27">
        <f t="shared" si="1"/>
        <v>147</v>
      </c>
      <c r="R24" s="27">
        <f t="shared" si="1"/>
        <v>147</v>
      </c>
      <c r="S24" s="27">
        <f t="shared" si="1"/>
        <v>147</v>
      </c>
      <c r="T24" s="27">
        <f t="shared" si="1"/>
        <v>147</v>
      </c>
      <c r="U24" s="27">
        <f t="shared" si="1"/>
        <v>147</v>
      </c>
      <c r="V24" s="27">
        <f t="shared" si="1"/>
        <v>147</v>
      </c>
      <c r="W24" s="27">
        <f t="shared" si="1"/>
        <v>147</v>
      </c>
    </row>
    <row r="25" spans="1:23" s="191" customFormat="1">
      <c r="A25" s="188"/>
      <c r="B25" s="189"/>
      <c r="C25" s="291"/>
      <c r="D25" s="190"/>
      <c r="E25" s="191" t="s">
        <v>367</v>
      </c>
      <c r="F25" s="191" t="s">
        <v>251</v>
      </c>
      <c r="G25" s="191" t="str">
        <f>smu</f>
        <v>Kes '000'</v>
      </c>
      <c r="J25" s="191">
        <f>ABS(J23*(J24/$F$22))</f>
        <v>0</v>
      </c>
      <c r="K25" s="191">
        <f t="shared" ref="K25:W25" si="2">ABS(K23*(K24/$F$22))</f>
        <v>0</v>
      </c>
      <c r="L25" s="191">
        <f t="shared" si="2"/>
        <v>0</v>
      </c>
      <c r="M25" s="191">
        <f t="shared" si="2"/>
        <v>0</v>
      </c>
      <c r="N25" s="191">
        <f t="shared" si="2"/>
        <v>0</v>
      </c>
      <c r="O25" s="191">
        <f t="shared" si="2"/>
        <v>0</v>
      </c>
      <c r="P25" s="191">
        <f t="shared" si="2"/>
        <v>4653101.461438356</v>
      </c>
      <c r="Q25" s="191">
        <f t="shared" si="2"/>
        <v>5482935.382654109</v>
      </c>
      <c r="R25" s="191">
        <f t="shared" si="2"/>
        <v>6463618.1324522253</v>
      </c>
      <c r="S25" s="191">
        <f t="shared" si="2"/>
        <v>7623051.7832000591</v>
      </c>
      <c r="T25" s="191">
        <f t="shared" si="2"/>
        <v>8994378.6677360684</v>
      </c>
      <c r="U25" s="191">
        <f t="shared" si="2"/>
        <v>10616978.408363678</v>
      </c>
      <c r="V25" s="191">
        <f t="shared" si="2"/>
        <v>0</v>
      </c>
      <c r="W25" s="191">
        <f t="shared" si="2"/>
        <v>0</v>
      </c>
    </row>
    <row r="27" spans="1:23">
      <c r="B27" s="4" t="s">
        <v>371</v>
      </c>
    </row>
    <row r="29" spans="1:23">
      <c r="E29" s="282" t="str">
        <f xml:space="preserve"> FinStat!E$38</f>
        <v>Inventories</v>
      </c>
      <c r="F29" s="282">
        <f xml:space="preserve"> FinStat!F$38</f>
        <v>0</v>
      </c>
      <c r="G29" s="282" t="str">
        <f xml:space="preserve"> FinStat!G$38</f>
        <v>Kes '000'</v>
      </c>
      <c r="H29" s="282">
        <f xml:space="preserve"> FinStat!H$38</f>
        <v>0</v>
      </c>
      <c r="I29" s="282">
        <f xml:space="preserve"> FinStat!I$38</f>
        <v>0</v>
      </c>
      <c r="J29" s="282">
        <f xml:space="preserve"> FinStat!J$38</f>
        <v>2085678</v>
      </c>
      <c r="K29" s="282">
        <f xml:space="preserve"> FinStat!K$38</f>
        <v>2299571</v>
      </c>
      <c r="L29" s="282">
        <f xml:space="preserve"> FinStat!L$38</f>
        <v>2972758</v>
      </c>
      <c r="M29" s="282">
        <f xml:space="preserve"> FinStat!M$38</f>
        <v>4374777</v>
      </c>
      <c r="N29" s="282">
        <f xml:space="preserve"> FinStat!N$38</f>
        <v>4393589</v>
      </c>
      <c r="O29" s="282">
        <f xml:space="preserve"> FinStat!O$38</f>
        <v>4482067</v>
      </c>
      <c r="P29" s="282">
        <f xml:space="preserve"> FinStat!P$38</f>
        <v>4653101.461438356</v>
      </c>
      <c r="Q29" s="282">
        <f xml:space="preserve"> FinStat!Q$38</f>
        <v>5482935.382654109</v>
      </c>
      <c r="R29" s="282">
        <f xml:space="preserve"> FinStat!R$38</f>
        <v>6463618.1324522253</v>
      </c>
      <c r="S29" s="282">
        <f xml:space="preserve"> FinStat!S$38</f>
        <v>7623051.7832000591</v>
      </c>
      <c r="T29" s="282">
        <f xml:space="preserve"> FinStat!T$38</f>
        <v>8994378.6677360684</v>
      </c>
      <c r="U29" s="282">
        <f xml:space="preserve"> FinStat!U$38</f>
        <v>10616978.408363678</v>
      </c>
      <c r="V29" s="282">
        <f xml:space="preserve"> FinStat!V$38</f>
        <v>0</v>
      </c>
      <c r="W29" s="282">
        <f xml:space="preserve"> FinStat!W$38</f>
        <v>0</v>
      </c>
    </row>
    <row r="30" spans="1:23">
      <c r="E30" s="58" t="s">
        <v>372</v>
      </c>
      <c r="G30" s="58" t="str">
        <f>smu</f>
        <v>Kes '000'</v>
      </c>
      <c r="J30" s="58">
        <f>I29-J29</f>
        <v>-2085678</v>
      </c>
      <c r="K30" s="58">
        <f>J29-K29</f>
        <v>-213893</v>
      </c>
      <c r="L30" s="58">
        <f t="shared" ref="L30:W30" si="3">K29-L29</f>
        <v>-673187</v>
      </c>
      <c r="M30" s="58">
        <f t="shared" si="3"/>
        <v>-1402019</v>
      </c>
      <c r="N30" s="58">
        <f t="shared" si="3"/>
        <v>-18812</v>
      </c>
      <c r="O30" s="58">
        <f t="shared" si="3"/>
        <v>-88478</v>
      </c>
      <c r="P30" s="58">
        <f t="shared" si="3"/>
        <v>-171034.46143835597</v>
      </c>
      <c r="Q30" s="58">
        <f t="shared" si="3"/>
        <v>-829833.92121575307</v>
      </c>
      <c r="R30" s="58">
        <f t="shared" si="3"/>
        <v>-980682.74979811627</v>
      </c>
      <c r="S30" s="58">
        <f t="shared" si="3"/>
        <v>-1159433.6507478338</v>
      </c>
      <c r="T30" s="58">
        <f t="shared" si="3"/>
        <v>-1371326.8845360093</v>
      </c>
      <c r="U30" s="58">
        <f t="shared" si="3"/>
        <v>-1622599.7406276092</v>
      </c>
      <c r="V30" s="58">
        <f t="shared" si="3"/>
        <v>10616978.408363678</v>
      </c>
      <c r="W30" s="58">
        <f t="shared" si="3"/>
        <v>0</v>
      </c>
    </row>
    <row r="31" spans="1:23">
      <c r="E31" s="282" t="str">
        <f xml:space="preserve"> Time!E$43</f>
        <v>Forecast period flag</v>
      </c>
      <c r="F31" s="282">
        <f xml:space="preserve"> Time!F$43</f>
        <v>0</v>
      </c>
      <c r="G31" s="282" t="str">
        <f xml:space="preserve"> Time!G$43</f>
        <v>flag</v>
      </c>
      <c r="H31" s="282">
        <f xml:space="preserve"> Time!H$43</f>
        <v>6</v>
      </c>
      <c r="I31" s="282">
        <f xml:space="preserve"> Time!I$43</f>
        <v>0</v>
      </c>
      <c r="J31" s="282">
        <f xml:space="preserve"> Time!J$43</f>
        <v>0</v>
      </c>
      <c r="K31" s="282">
        <f xml:space="preserve"> Time!K$43</f>
        <v>0</v>
      </c>
      <c r="L31" s="282">
        <f xml:space="preserve"> Time!L$43</f>
        <v>0</v>
      </c>
      <c r="M31" s="282">
        <f xml:space="preserve"> Time!M$43</f>
        <v>0</v>
      </c>
      <c r="N31" s="282">
        <f xml:space="preserve"> Time!N$43</f>
        <v>0</v>
      </c>
      <c r="O31" s="282">
        <f xml:space="preserve"> Time!O$43</f>
        <v>0</v>
      </c>
      <c r="P31" s="282">
        <f xml:space="preserve"> Time!P$43</f>
        <v>1</v>
      </c>
      <c r="Q31" s="282">
        <f xml:space="preserve"> Time!Q$43</f>
        <v>1</v>
      </c>
      <c r="R31" s="282">
        <f xml:space="preserve"> Time!R$43</f>
        <v>1</v>
      </c>
      <c r="S31" s="282">
        <f xml:space="preserve"> Time!S$43</f>
        <v>1</v>
      </c>
      <c r="T31" s="282">
        <f xml:space="preserve"> Time!T$43</f>
        <v>1</v>
      </c>
      <c r="U31" s="282">
        <f xml:space="preserve"> Time!U$43</f>
        <v>1</v>
      </c>
      <c r="V31" s="282">
        <f xml:space="preserve"> Time!V$43</f>
        <v>0</v>
      </c>
      <c r="W31" s="282">
        <f xml:space="preserve"> Time!W$43</f>
        <v>0</v>
      </c>
    </row>
    <row r="32" spans="1:23" s="191" customFormat="1">
      <c r="A32" s="188"/>
      <c r="B32" s="189"/>
      <c r="C32" s="291"/>
      <c r="D32" s="190"/>
      <c r="E32" s="191" t="str">
        <f>"Forecast"&amp;" "&amp;E30</f>
        <v>Forecast Change In Inventory</v>
      </c>
      <c r="F32" s="191" t="s">
        <v>295</v>
      </c>
      <c r="G32" s="191" t="str">
        <f>smu</f>
        <v>Kes '000'</v>
      </c>
      <c r="H32" s="191">
        <f xml:space="preserve"> SUM(J32:W32)</f>
        <v>-6134911.4083636776</v>
      </c>
      <c r="J32" s="191">
        <f>J30*J31</f>
        <v>0</v>
      </c>
      <c r="K32" s="191">
        <f t="shared" ref="K32:W32" si="4">K30*K31</f>
        <v>0</v>
      </c>
      <c r="L32" s="191">
        <f t="shared" si="4"/>
        <v>0</v>
      </c>
      <c r="M32" s="191">
        <f t="shared" si="4"/>
        <v>0</v>
      </c>
      <c r="N32" s="191">
        <f t="shared" si="4"/>
        <v>0</v>
      </c>
      <c r="O32" s="191">
        <f t="shared" si="4"/>
        <v>0</v>
      </c>
      <c r="P32" s="191">
        <f t="shared" si="4"/>
        <v>-171034.46143835597</v>
      </c>
      <c r="Q32" s="191">
        <f t="shared" si="4"/>
        <v>-829833.92121575307</v>
      </c>
      <c r="R32" s="191">
        <f t="shared" si="4"/>
        <v>-980682.74979811627</v>
      </c>
      <c r="S32" s="191">
        <f t="shared" si="4"/>
        <v>-1159433.6507478338</v>
      </c>
      <c r="T32" s="191">
        <f t="shared" si="4"/>
        <v>-1371326.8845360093</v>
      </c>
      <c r="U32" s="191">
        <f t="shared" si="4"/>
        <v>-1622599.7406276092</v>
      </c>
      <c r="V32" s="191">
        <f t="shared" si="4"/>
        <v>0</v>
      </c>
      <c r="W32" s="191">
        <f t="shared" si="4"/>
        <v>0</v>
      </c>
    </row>
    <row r="34" spans="1:23" s="134" customFormat="1">
      <c r="A34" s="130"/>
      <c r="B34" s="131" t="s">
        <v>373</v>
      </c>
      <c r="C34" s="132"/>
      <c r="D34" s="133"/>
    </row>
    <row r="36" spans="1:23">
      <c r="C36" s="16" t="s">
        <v>374</v>
      </c>
    </row>
    <row r="38" spans="1:23">
      <c r="E38" s="282" t="str">
        <f xml:space="preserve"> InpC!E$24</f>
        <v>Days in year</v>
      </c>
      <c r="F38" s="282">
        <f xml:space="preserve"> InpC!F$24</f>
        <v>365</v>
      </c>
      <c r="G38" s="282" t="str">
        <f xml:space="preserve"> InpC!G$24</f>
        <v>days</v>
      </c>
      <c r="H38" s="282"/>
      <c r="I38" s="282"/>
      <c r="J38" s="282"/>
      <c r="K38" s="282"/>
      <c r="L38" s="282"/>
      <c r="M38" s="282"/>
      <c r="N38" s="282"/>
      <c r="O38" s="282"/>
      <c r="P38" s="282"/>
      <c r="Q38" s="282"/>
      <c r="R38" s="282"/>
      <c r="S38" s="282"/>
      <c r="T38" s="282"/>
      <c r="U38" s="282"/>
      <c r="V38" s="282"/>
      <c r="W38" s="282"/>
    </row>
    <row r="39" spans="1:23">
      <c r="E39" s="282" t="str">
        <f xml:space="preserve"> FinStat!E$39</f>
        <v>Total Receivables and Prepayments</v>
      </c>
      <c r="F39" s="282">
        <f xml:space="preserve"> FinStat!F$39</f>
        <v>0</v>
      </c>
      <c r="G39" s="282" t="str">
        <f xml:space="preserve"> FinStat!G$39</f>
        <v>Kes '000'</v>
      </c>
      <c r="H39" s="282">
        <f xml:space="preserve"> FinStat!H$39</f>
        <v>0</v>
      </c>
      <c r="I39" s="282">
        <f xml:space="preserve"> FinStat!I$39</f>
        <v>0</v>
      </c>
      <c r="J39" s="282">
        <f xml:space="preserve"> FinStat!J$39</f>
        <v>1734732</v>
      </c>
      <c r="K39" s="282">
        <f xml:space="preserve"> FinStat!K$39</f>
        <v>1693180</v>
      </c>
      <c r="L39" s="282">
        <f xml:space="preserve"> FinStat!L$39</f>
        <v>1710666</v>
      </c>
      <c r="M39" s="282">
        <f xml:space="preserve"> FinStat!M$39</f>
        <v>1884257</v>
      </c>
      <c r="N39" s="282">
        <f xml:space="preserve"> FinStat!N$39</f>
        <v>2541925</v>
      </c>
      <c r="O39" s="282">
        <f xml:space="preserve"> FinStat!O$39</f>
        <v>3838060</v>
      </c>
      <c r="P39" s="282">
        <f xml:space="preserve"> FinStat!P$39</f>
        <v>3355297.6524657528</v>
      </c>
      <c r="Q39" s="282">
        <f xml:space="preserve"> FinStat!Q$39</f>
        <v>3953681.2963356152</v>
      </c>
      <c r="R39" s="282">
        <f xml:space="preserve"> FinStat!R$39</f>
        <v>4660840.2859859578</v>
      </c>
      <c r="S39" s="282">
        <f xml:space="preserve"> FinStat!S$39</f>
        <v>5496894.483123851</v>
      </c>
      <c r="T39" s="282">
        <f xml:space="preserve"> FinStat!T$39</f>
        <v>6485742.4406804293</v>
      </c>
      <c r="U39" s="282">
        <f xml:space="preserve"> FinStat!U$39</f>
        <v>7655780.3488880927</v>
      </c>
      <c r="V39" s="282">
        <f xml:space="preserve"> FinStat!V$39</f>
        <v>0</v>
      </c>
      <c r="W39" s="282">
        <f xml:space="preserve"> FinStat!W$39</f>
        <v>0</v>
      </c>
    </row>
    <row r="40" spans="1:23">
      <c r="E40" s="282" t="str">
        <f xml:space="preserve"> FinStat!E$11</f>
        <v>Total Revenue</v>
      </c>
      <c r="F40" s="282">
        <f xml:space="preserve"> FinStat!F$11</f>
        <v>0</v>
      </c>
      <c r="G40" s="282" t="str">
        <f xml:space="preserve"> FinStat!G$11</f>
        <v>Kes '000'</v>
      </c>
      <c r="H40" s="282">
        <f xml:space="preserve"> FinStat!H$11</f>
        <v>312227198.62698287</v>
      </c>
      <c r="I40" s="282">
        <f xml:space="preserve"> FinStat!I$11</f>
        <v>0</v>
      </c>
      <c r="J40" s="282">
        <f xml:space="preserve"> FinStat!J$11</f>
        <v>10283369</v>
      </c>
      <c r="K40" s="282">
        <f xml:space="preserve"> FinStat!K$11</f>
        <v>11094396</v>
      </c>
      <c r="L40" s="282">
        <f xml:space="preserve"> FinStat!L$11</f>
        <v>13539233</v>
      </c>
      <c r="M40" s="282">
        <f xml:space="preserve"> FinStat!M$11</f>
        <v>20603120</v>
      </c>
      <c r="N40" s="282">
        <f xml:space="preserve"> FinStat!N$11</f>
        <v>19409000</v>
      </c>
      <c r="O40" s="282">
        <f xml:space="preserve"> FinStat!O$11</f>
        <v>19618716</v>
      </c>
      <c r="P40" s="282">
        <f xml:space="preserve"> FinStat!P$11</f>
        <v>23107238.549999997</v>
      </c>
      <c r="Q40" s="282">
        <f xml:space="preserve"> FinStat!Q$11</f>
        <v>27228182.512499996</v>
      </c>
      <c r="R40" s="282">
        <f xml:space="preserve"> FinStat!R$11</f>
        <v>32098239.705374997</v>
      </c>
      <c r="S40" s="282">
        <f xml:space="preserve"> FinStat!S$11</f>
        <v>37855971.440381244</v>
      </c>
      <c r="T40" s="282">
        <f xml:space="preserve"> FinStat!T$11</f>
        <v>44665962.09147843</v>
      </c>
      <c r="U40" s="282">
        <f xml:space="preserve"> FinStat!U$11</f>
        <v>52723770.327248193</v>
      </c>
      <c r="V40" s="282">
        <f xml:space="preserve"> FinStat!V$11</f>
        <v>0</v>
      </c>
      <c r="W40" s="282">
        <f xml:space="preserve"> FinStat!W$11</f>
        <v>0</v>
      </c>
    </row>
    <row r="41" spans="1:23">
      <c r="E41" s="58" t="s">
        <v>374</v>
      </c>
      <c r="F41" s="58">
        <f>AVERAGE(J41:W41)</f>
        <v>52.832054564422968</v>
      </c>
      <c r="G41" s="58" t="s">
        <v>370</v>
      </c>
      <c r="J41" s="58">
        <f>IF(AND(J40&lt;&gt;0,J39&lt;&gt;0),ABS($F$11/(J40/J39)),"NA")</f>
        <v>61.572931983671886</v>
      </c>
      <c r="K41" s="58">
        <f t="shared" ref="K41" si="5">IF(AND(K40&lt;&gt;0,K39&lt;&gt;0),ABS($F$11/(K40/K39)),"NA")</f>
        <v>55.704763017292692</v>
      </c>
      <c r="L41" s="58">
        <f t="shared" ref="L41" si="6">IF(AND(L40&lt;&gt;0,L39&lt;&gt;0),ABS($F$11/(L40/L39)),"NA")</f>
        <v>46.117316246791823</v>
      </c>
      <c r="M41" s="58">
        <f t="shared" ref="M41" si="7">IF(AND(M40&lt;&gt;0,M39&lt;&gt;0),ABS($F$11/(M40/M39)),"NA")</f>
        <v>33.381051267963301</v>
      </c>
      <c r="N41" s="58">
        <f t="shared" ref="N41" si="8">IF(AND(N40&lt;&gt;0,N39&lt;&gt;0),ABS($F$11/(N40/N39)),"NA")</f>
        <v>47.802701066515532</v>
      </c>
      <c r="O41" s="58">
        <f t="shared" ref="O41" si="9">IF(AND(O40&lt;&gt;0,O39&lt;&gt;0),ABS($F$11/(O40/O39)),"NA")</f>
        <v>71.405891190840421</v>
      </c>
      <c r="P41" s="58">
        <f t="shared" ref="P41" si="10">IF(AND(P40&lt;&gt;0,P39&lt;&gt;0),ABS($F$11/(P40/P39)),"NA")</f>
        <v>52.999999999999993</v>
      </c>
      <c r="Q41" s="58">
        <f t="shared" ref="Q41" si="11">IF(AND(Q40&lt;&gt;0,Q39&lt;&gt;0),ABS($F$11/(Q40/Q39)),"NA")</f>
        <v>52.999999999999993</v>
      </c>
      <c r="R41" s="58">
        <f t="shared" ref="R41" si="12">IF(AND(R40&lt;&gt;0,R39&lt;&gt;0),ABS($F$11/(R40/R39)),"NA")</f>
        <v>52.999999999999993</v>
      </c>
      <c r="S41" s="58">
        <f t="shared" ref="S41" si="13">IF(AND(S40&lt;&gt;0,S39&lt;&gt;0),ABS($F$11/(S40/S39)),"NA")</f>
        <v>52.999999999999993</v>
      </c>
      <c r="T41" s="58">
        <f t="shared" ref="T41" si="14">IF(AND(T40&lt;&gt;0,T39&lt;&gt;0),ABS($F$11/(T40/T39)),"NA")</f>
        <v>52.999999999999993</v>
      </c>
      <c r="U41" s="58">
        <f t="shared" ref="U41" si="15">IF(AND(U40&lt;&gt;0,U39&lt;&gt;0),ABS($F$11/(U40/U39)),"NA")</f>
        <v>52.999999999999993</v>
      </c>
      <c r="V41" s="58" t="str">
        <f t="shared" ref="V41" si="16">IF(AND(V40&lt;&gt;0,V39&lt;&gt;0),ABS($F$11/(V40/V39)),"NA")</f>
        <v>NA</v>
      </c>
      <c r="W41" s="58" t="str">
        <f t="shared" ref="W41" si="17">IF(AND(W40&lt;&gt;0,W39&lt;&gt;0),ABS($F$11/(W40/W39)),"NA")</f>
        <v>NA</v>
      </c>
    </row>
    <row r="43" spans="1:23">
      <c r="C43" s="16" t="s">
        <v>375</v>
      </c>
    </row>
    <row r="45" spans="1:23">
      <c r="E45" s="282" t="str">
        <f xml:space="preserve"> InpS!E$51</f>
        <v>Forecast Receivables &amp; Pre-payments Days</v>
      </c>
      <c r="F45" s="282">
        <f xml:space="preserve"> InpS!F$51</f>
        <v>0</v>
      </c>
      <c r="G45" s="282" t="str">
        <f xml:space="preserve"> InpS!G$51</f>
        <v>Days</v>
      </c>
      <c r="H45" s="282">
        <f xml:space="preserve"> InpS!H$51</f>
        <v>0</v>
      </c>
      <c r="I45" s="282">
        <f xml:space="preserve"> InpS!I$51</f>
        <v>0</v>
      </c>
      <c r="J45" s="282">
        <f xml:space="preserve"> InpS!J$51</f>
        <v>0</v>
      </c>
      <c r="K45" s="282">
        <f xml:space="preserve"> InpS!K$51</f>
        <v>0</v>
      </c>
      <c r="L45" s="282">
        <f xml:space="preserve"> InpS!L$51</f>
        <v>0</v>
      </c>
      <c r="M45" s="282">
        <f xml:space="preserve"> InpS!M$51</f>
        <v>0</v>
      </c>
      <c r="N45" s="282">
        <f xml:space="preserve"> InpS!N$51</f>
        <v>0</v>
      </c>
      <c r="O45" s="282">
        <f xml:space="preserve"> InpS!O$51</f>
        <v>0</v>
      </c>
      <c r="P45" s="282">
        <f xml:space="preserve"> InpS!P$51</f>
        <v>53</v>
      </c>
      <c r="Q45" s="282">
        <f xml:space="preserve"> InpS!Q$51</f>
        <v>53</v>
      </c>
      <c r="R45" s="282">
        <f xml:space="preserve"> InpS!R$51</f>
        <v>53</v>
      </c>
      <c r="S45" s="282">
        <f xml:space="preserve"> InpS!S$51</f>
        <v>53</v>
      </c>
      <c r="T45" s="282">
        <f xml:space="preserve"> InpS!T$51</f>
        <v>53</v>
      </c>
      <c r="U45" s="282">
        <f xml:space="preserve"> InpS!U$51</f>
        <v>53</v>
      </c>
      <c r="V45" s="282">
        <f xml:space="preserve"> InpS!V$51</f>
        <v>53</v>
      </c>
      <c r="W45" s="282">
        <f xml:space="preserve"> InpS!W$51</f>
        <v>53</v>
      </c>
    </row>
    <row r="47" spans="1:23">
      <c r="C47" s="16" t="s">
        <v>373</v>
      </c>
    </row>
    <row r="49" spans="1:23">
      <c r="E49" s="282" t="str">
        <f xml:space="preserve"> InpC!E$24</f>
        <v>Days in year</v>
      </c>
      <c r="F49" s="282">
        <f xml:space="preserve"> InpC!F$24</f>
        <v>365</v>
      </c>
      <c r="G49" s="282" t="str">
        <f xml:space="preserve"> InpC!G$24</f>
        <v>days</v>
      </c>
      <c r="H49" s="27"/>
      <c r="I49" s="27"/>
      <c r="J49" s="27"/>
      <c r="K49" s="27"/>
      <c r="L49" s="27"/>
      <c r="M49" s="27"/>
      <c r="N49" s="27"/>
      <c r="O49" s="27"/>
      <c r="P49" s="27"/>
      <c r="Q49" s="27"/>
      <c r="R49" s="27"/>
      <c r="S49" s="27"/>
      <c r="T49" s="27"/>
      <c r="U49" s="27"/>
      <c r="V49" s="27"/>
      <c r="W49" s="27"/>
    </row>
    <row r="50" spans="1:23">
      <c r="E50" s="282" t="str">
        <f xml:space="preserve"> OpRev!E$64</f>
        <v>Forecast Total Sales</v>
      </c>
      <c r="F50" s="282">
        <f xml:space="preserve"> OpRev!F$64</f>
        <v>0</v>
      </c>
      <c r="G50" s="282" t="str">
        <f xml:space="preserve"> OpRev!G$64</f>
        <v>Kes '000'</v>
      </c>
      <c r="H50" s="282">
        <f xml:space="preserve"> OpRev!H$64</f>
        <v>217679364.62698284</v>
      </c>
      <c r="I50" s="282">
        <f xml:space="preserve"> OpRev!I$64</f>
        <v>0</v>
      </c>
      <c r="J50" s="282">
        <f xml:space="preserve"> OpRev!J$64</f>
        <v>0</v>
      </c>
      <c r="K50" s="282">
        <f xml:space="preserve"> OpRev!K$64</f>
        <v>0</v>
      </c>
      <c r="L50" s="282">
        <f xml:space="preserve"> OpRev!L$64</f>
        <v>0</v>
      </c>
      <c r="M50" s="282">
        <f xml:space="preserve"> OpRev!M$64</f>
        <v>0</v>
      </c>
      <c r="N50" s="282">
        <f xml:space="preserve"> OpRev!N$64</f>
        <v>0</v>
      </c>
      <c r="O50" s="282">
        <f xml:space="preserve"> OpRev!O$64</f>
        <v>0</v>
      </c>
      <c r="P50" s="282">
        <f xml:space="preserve"> OpRev!P$64</f>
        <v>23107238.549999997</v>
      </c>
      <c r="Q50" s="282">
        <f xml:space="preserve"> OpRev!Q$64</f>
        <v>27228182.512499996</v>
      </c>
      <c r="R50" s="282">
        <f xml:space="preserve"> OpRev!R$64</f>
        <v>32098239.705374997</v>
      </c>
      <c r="S50" s="282">
        <f xml:space="preserve"> OpRev!S$64</f>
        <v>37855971.440381244</v>
      </c>
      <c r="T50" s="282">
        <f xml:space="preserve"> OpRev!T$64</f>
        <v>44665962.09147843</v>
      </c>
      <c r="U50" s="282">
        <f xml:space="preserve"> OpRev!U$64</f>
        <v>52723770.327248193</v>
      </c>
      <c r="V50" s="282">
        <f xml:space="preserve"> OpRev!V$64</f>
        <v>0</v>
      </c>
      <c r="W50" s="282">
        <f xml:space="preserve"> OpRev!W$64</f>
        <v>0</v>
      </c>
    </row>
    <row r="51" spans="1:23">
      <c r="E51" s="27" t="str">
        <f xml:space="preserve"> E$45</f>
        <v>Forecast Receivables &amp; Pre-payments Days</v>
      </c>
      <c r="F51" s="27">
        <f t="shared" ref="F51:W51" si="18" xml:space="preserve"> F$45</f>
        <v>0</v>
      </c>
      <c r="G51" s="27" t="str">
        <f t="shared" si="18"/>
        <v>Days</v>
      </c>
      <c r="H51" s="27">
        <f t="shared" si="18"/>
        <v>0</v>
      </c>
      <c r="I51" s="27">
        <f t="shared" si="18"/>
        <v>0</v>
      </c>
      <c r="J51" s="27">
        <f t="shared" si="18"/>
        <v>0</v>
      </c>
      <c r="K51" s="27">
        <f t="shared" si="18"/>
        <v>0</v>
      </c>
      <c r="L51" s="27">
        <f t="shared" si="18"/>
        <v>0</v>
      </c>
      <c r="M51" s="27">
        <f t="shared" si="18"/>
        <v>0</v>
      </c>
      <c r="N51" s="27">
        <f t="shared" si="18"/>
        <v>0</v>
      </c>
      <c r="O51" s="27">
        <f t="shared" si="18"/>
        <v>0</v>
      </c>
      <c r="P51" s="27">
        <f t="shared" si="18"/>
        <v>53</v>
      </c>
      <c r="Q51" s="27">
        <f t="shared" si="18"/>
        <v>53</v>
      </c>
      <c r="R51" s="27">
        <f t="shared" si="18"/>
        <v>53</v>
      </c>
      <c r="S51" s="27">
        <f t="shared" si="18"/>
        <v>53</v>
      </c>
      <c r="T51" s="27">
        <f t="shared" si="18"/>
        <v>53</v>
      </c>
      <c r="U51" s="27">
        <f t="shared" si="18"/>
        <v>53</v>
      </c>
      <c r="V51" s="27">
        <f t="shared" si="18"/>
        <v>53</v>
      </c>
      <c r="W51" s="27">
        <f t="shared" si="18"/>
        <v>53</v>
      </c>
    </row>
    <row r="52" spans="1:23" s="191" customFormat="1">
      <c r="A52" s="188"/>
      <c r="B52" s="189"/>
      <c r="C52" s="291"/>
      <c r="D52" s="190"/>
      <c r="E52" s="191" t="s">
        <v>373</v>
      </c>
      <c r="F52" s="191" t="s">
        <v>251</v>
      </c>
      <c r="G52" s="191" t="str">
        <f>smu</f>
        <v>Kes '000'</v>
      </c>
      <c r="J52" s="191">
        <f>ABS(J50*(J51/$F$22))</f>
        <v>0</v>
      </c>
      <c r="K52" s="191">
        <f t="shared" ref="K52" si="19">ABS(K50*(K51/$F$22))</f>
        <v>0</v>
      </c>
      <c r="L52" s="191">
        <f t="shared" ref="L52" si="20">ABS(L50*(L51/$F$22))</f>
        <v>0</v>
      </c>
      <c r="M52" s="191">
        <f t="shared" ref="M52" si="21">ABS(M50*(M51/$F$22))</f>
        <v>0</v>
      </c>
      <c r="N52" s="191">
        <f t="shared" ref="N52" si="22">ABS(N50*(N51/$F$22))</f>
        <v>0</v>
      </c>
      <c r="O52" s="191">
        <f t="shared" ref="O52" si="23">ABS(O50*(O51/$F$22))</f>
        <v>0</v>
      </c>
      <c r="P52" s="191">
        <f t="shared" ref="P52" si="24">ABS(P50*(P51/$F$22))</f>
        <v>3355297.6524657528</v>
      </c>
      <c r="Q52" s="191">
        <f t="shared" ref="Q52" si="25">ABS(Q50*(Q51/$F$22))</f>
        <v>3953681.2963356152</v>
      </c>
      <c r="R52" s="191">
        <f t="shared" ref="R52" si="26">ABS(R50*(R51/$F$22))</f>
        <v>4660840.2859859578</v>
      </c>
      <c r="S52" s="191">
        <f t="shared" ref="S52" si="27">ABS(S50*(S51/$F$22))</f>
        <v>5496894.483123851</v>
      </c>
      <c r="T52" s="191">
        <f t="shared" ref="T52" si="28">ABS(T50*(T51/$F$22))</f>
        <v>6485742.4406804293</v>
      </c>
      <c r="U52" s="191">
        <f t="shared" ref="U52" si="29">ABS(U50*(U51/$F$22))</f>
        <v>7655780.3488880927</v>
      </c>
      <c r="V52" s="191">
        <f t="shared" ref="V52" si="30">ABS(V50*(V51/$F$22))</f>
        <v>0</v>
      </c>
      <c r="W52" s="191">
        <f t="shared" ref="W52" si="31">ABS(W50*(W51/$F$22))</f>
        <v>0</v>
      </c>
    </row>
    <row r="54" spans="1:23">
      <c r="B54" s="4" t="s">
        <v>376</v>
      </c>
    </row>
    <row r="56" spans="1:23">
      <c r="E56" s="282" t="str">
        <f xml:space="preserve"> FinStat!E$39</f>
        <v>Total Receivables and Prepayments</v>
      </c>
      <c r="F56" s="282">
        <f xml:space="preserve"> FinStat!F$39</f>
        <v>0</v>
      </c>
      <c r="G56" s="282" t="str">
        <f xml:space="preserve"> FinStat!G$39</f>
        <v>Kes '000'</v>
      </c>
      <c r="H56" s="282">
        <f xml:space="preserve"> FinStat!H$39</f>
        <v>0</v>
      </c>
      <c r="I56" s="282">
        <f xml:space="preserve"> FinStat!I$39</f>
        <v>0</v>
      </c>
      <c r="J56" s="282">
        <f xml:space="preserve"> FinStat!J$39</f>
        <v>1734732</v>
      </c>
      <c r="K56" s="282">
        <f xml:space="preserve"> FinStat!K$39</f>
        <v>1693180</v>
      </c>
      <c r="L56" s="282">
        <f xml:space="preserve"> FinStat!L$39</f>
        <v>1710666</v>
      </c>
      <c r="M56" s="282">
        <f xml:space="preserve"> FinStat!M$39</f>
        <v>1884257</v>
      </c>
      <c r="N56" s="282">
        <f xml:space="preserve"> FinStat!N$39</f>
        <v>2541925</v>
      </c>
      <c r="O56" s="282">
        <f xml:space="preserve"> FinStat!O$39</f>
        <v>3838060</v>
      </c>
      <c r="P56" s="282">
        <f xml:space="preserve"> FinStat!P$39</f>
        <v>3355297.6524657528</v>
      </c>
      <c r="Q56" s="282">
        <f xml:space="preserve"> FinStat!Q$39</f>
        <v>3953681.2963356152</v>
      </c>
      <c r="R56" s="282">
        <f xml:space="preserve"> FinStat!R$39</f>
        <v>4660840.2859859578</v>
      </c>
      <c r="S56" s="282">
        <f xml:space="preserve"> FinStat!S$39</f>
        <v>5496894.483123851</v>
      </c>
      <c r="T56" s="282">
        <f xml:space="preserve"> FinStat!T$39</f>
        <v>6485742.4406804293</v>
      </c>
      <c r="U56" s="282">
        <f xml:space="preserve"> FinStat!U$39</f>
        <v>7655780.3488880927</v>
      </c>
      <c r="V56" s="282">
        <f xml:space="preserve"> FinStat!V$39</f>
        <v>0</v>
      </c>
      <c r="W56" s="282">
        <f xml:space="preserve"> FinStat!W$39</f>
        <v>0</v>
      </c>
    </row>
    <row r="57" spans="1:23">
      <c r="E57" s="58" t="s">
        <v>377</v>
      </c>
      <c r="G57" s="58" t="str">
        <f>smu</f>
        <v>Kes '000'</v>
      </c>
      <c r="J57" s="58">
        <f>I56-J56</f>
        <v>-1734732</v>
      </c>
      <c r="K57" s="58">
        <f>J56-K56</f>
        <v>41552</v>
      </c>
      <c r="L57" s="58">
        <f t="shared" ref="L57" si="32">K56-L56</f>
        <v>-17486</v>
      </c>
      <c r="M57" s="58">
        <f t="shared" ref="M57" si="33">L56-M56</f>
        <v>-173591</v>
      </c>
      <c r="N57" s="58">
        <f t="shared" ref="N57" si="34">M56-N56</f>
        <v>-657668</v>
      </c>
      <c r="O57" s="58">
        <f t="shared" ref="O57" si="35">N56-O56</f>
        <v>-1296135</v>
      </c>
      <c r="P57" s="58">
        <f>O56-P56</f>
        <v>482762.34753424721</v>
      </c>
      <c r="Q57" s="58">
        <f t="shared" ref="Q57" si="36">P56-Q56</f>
        <v>-598383.64386986243</v>
      </c>
      <c r="R57" s="58">
        <f t="shared" ref="R57" si="37">Q56-R56</f>
        <v>-707158.98965034261</v>
      </c>
      <c r="S57" s="58">
        <f t="shared" ref="S57" si="38">R56-S56</f>
        <v>-836054.19713789318</v>
      </c>
      <c r="T57" s="58">
        <f t="shared" ref="T57" si="39">S56-T56</f>
        <v>-988847.95755657833</v>
      </c>
      <c r="U57" s="58">
        <f t="shared" ref="U57" si="40">T56-U56</f>
        <v>-1170037.9082076633</v>
      </c>
      <c r="V57" s="58">
        <f t="shared" ref="V57" si="41">U56-V56</f>
        <v>7655780.3488880927</v>
      </c>
      <c r="W57" s="58">
        <f t="shared" ref="W57" si="42">V56-W56</f>
        <v>0</v>
      </c>
    </row>
    <row r="58" spans="1:23">
      <c r="E58" s="282" t="str">
        <f xml:space="preserve"> Time!E$43</f>
        <v>Forecast period flag</v>
      </c>
      <c r="F58" s="282">
        <f xml:space="preserve"> Time!F$43</f>
        <v>0</v>
      </c>
      <c r="G58" s="282" t="str">
        <f xml:space="preserve"> Time!G$43</f>
        <v>flag</v>
      </c>
      <c r="H58" s="282">
        <f xml:space="preserve"> Time!H$43</f>
        <v>6</v>
      </c>
      <c r="I58" s="282">
        <f xml:space="preserve"> Time!I$43</f>
        <v>0</v>
      </c>
      <c r="J58" s="282">
        <f xml:space="preserve"> Time!J$43</f>
        <v>0</v>
      </c>
      <c r="K58" s="282">
        <f xml:space="preserve"> Time!K$43</f>
        <v>0</v>
      </c>
      <c r="L58" s="282">
        <f xml:space="preserve"> Time!L$43</f>
        <v>0</v>
      </c>
      <c r="M58" s="282">
        <f xml:space="preserve"> Time!M$43</f>
        <v>0</v>
      </c>
      <c r="N58" s="282">
        <f xml:space="preserve"> Time!N$43</f>
        <v>0</v>
      </c>
      <c r="O58" s="282">
        <f xml:space="preserve"> Time!O$43</f>
        <v>0</v>
      </c>
      <c r="P58" s="282">
        <f xml:space="preserve"> Time!P$43</f>
        <v>1</v>
      </c>
      <c r="Q58" s="282">
        <f xml:space="preserve"> Time!Q$43</f>
        <v>1</v>
      </c>
      <c r="R58" s="282">
        <f xml:space="preserve"> Time!R$43</f>
        <v>1</v>
      </c>
      <c r="S58" s="282">
        <f xml:space="preserve"> Time!S$43</f>
        <v>1</v>
      </c>
      <c r="T58" s="282">
        <f xml:space="preserve"> Time!T$43</f>
        <v>1</v>
      </c>
      <c r="U58" s="282">
        <f xml:space="preserve"> Time!U$43</f>
        <v>1</v>
      </c>
      <c r="V58" s="282">
        <f xml:space="preserve"> Time!V$43</f>
        <v>0</v>
      </c>
      <c r="W58" s="282">
        <f xml:space="preserve"> Time!W$43</f>
        <v>0</v>
      </c>
    </row>
    <row r="59" spans="1:23" s="191" customFormat="1">
      <c r="A59" s="188"/>
      <c r="B59" s="189"/>
      <c r="C59" s="291"/>
      <c r="D59" s="190"/>
      <c r="E59" s="191" t="str">
        <f>"Forecast"&amp;" "&amp;E57</f>
        <v>Forecast Change In Receivables &amp; Pre-payments</v>
      </c>
      <c r="F59" s="191" t="s">
        <v>295</v>
      </c>
      <c r="G59" s="191" t="str">
        <f>smu</f>
        <v>Kes '000'</v>
      </c>
      <c r="H59" s="191">
        <f xml:space="preserve"> SUM(J59:W59)</f>
        <v>-3817720.3488880927</v>
      </c>
      <c r="J59" s="191">
        <f>J57*J58</f>
        <v>0</v>
      </c>
      <c r="K59" s="191">
        <f t="shared" ref="K59:W59" si="43">K57*K58</f>
        <v>0</v>
      </c>
      <c r="L59" s="191">
        <f t="shared" si="43"/>
        <v>0</v>
      </c>
      <c r="M59" s="191">
        <f t="shared" si="43"/>
        <v>0</v>
      </c>
      <c r="N59" s="191">
        <f t="shared" si="43"/>
        <v>0</v>
      </c>
      <c r="O59" s="191">
        <f t="shared" si="43"/>
        <v>0</v>
      </c>
      <c r="P59" s="191">
        <f>P57*P58</f>
        <v>482762.34753424721</v>
      </c>
      <c r="Q59" s="191">
        <f t="shared" si="43"/>
        <v>-598383.64386986243</v>
      </c>
      <c r="R59" s="191">
        <f t="shared" si="43"/>
        <v>-707158.98965034261</v>
      </c>
      <c r="S59" s="191">
        <f t="shared" si="43"/>
        <v>-836054.19713789318</v>
      </c>
      <c r="T59" s="191">
        <f t="shared" si="43"/>
        <v>-988847.95755657833</v>
      </c>
      <c r="U59" s="191">
        <f t="shared" si="43"/>
        <v>-1170037.9082076633</v>
      </c>
      <c r="V59" s="191">
        <f t="shared" si="43"/>
        <v>0</v>
      </c>
      <c r="W59" s="191">
        <f t="shared" si="43"/>
        <v>0</v>
      </c>
    </row>
    <row r="61" spans="1:23" s="134" customFormat="1">
      <c r="A61" s="130"/>
      <c r="B61" s="131" t="s">
        <v>378</v>
      </c>
      <c r="C61" s="132"/>
      <c r="D61" s="133"/>
    </row>
    <row r="63" spans="1:23">
      <c r="C63" s="16" t="s">
        <v>379</v>
      </c>
    </row>
    <row r="65" spans="1:23">
      <c r="E65" s="282" t="str">
        <f xml:space="preserve"> InpC!E$24</f>
        <v>Days in year</v>
      </c>
      <c r="F65" s="282">
        <f xml:space="preserve"> InpC!F$24</f>
        <v>365</v>
      </c>
      <c r="G65" s="282" t="str">
        <f xml:space="preserve"> InpC!G$24</f>
        <v>days</v>
      </c>
      <c r="H65" s="282"/>
      <c r="I65" s="282"/>
      <c r="J65" s="282"/>
      <c r="K65" s="282"/>
      <c r="L65" s="282"/>
      <c r="M65" s="282"/>
      <c r="N65" s="282"/>
      <c r="O65" s="282"/>
      <c r="P65" s="282"/>
      <c r="Q65" s="282"/>
      <c r="R65" s="282"/>
      <c r="S65" s="282"/>
      <c r="T65" s="282"/>
      <c r="U65" s="282"/>
      <c r="V65" s="282"/>
      <c r="W65" s="282"/>
    </row>
    <row r="66" spans="1:23">
      <c r="E66" s="282" t="str">
        <f xml:space="preserve"> FinStat!E$57</f>
        <v>Total Trade Payables</v>
      </c>
      <c r="F66" s="282">
        <f xml:space="preserve"> FinStat!F$57</f>
        <v>0</v>
      </c>
      <c r="G66" s="282" t="str">
        <f xml:space="preserve"> FinStat!G$57</f>
        <v>Kes '000'</v>
      </c>
      <c r="H66" s="282">
        <f xml:space="preserve"> FinStat!H$57</f>
        <v>0</v>
      </c>
      <c r="I66" s="282">
        <f xml:space="preserve"> FinStat!I$57</f>
        <v>0</v>
      </c>
      <c r="J66" s="282">
        <f xml:space="preserve"> FinStat!J$57</f>
        <v>3161099</v>
      </c>
      <c r="K66" s="282">
        <f xml:space="preserve"> FinStat!K$57</f>
        <v>3259873</v>
      </c>
      <c r="L66" s="282">
        <f xml:space="preserve"> FinStat!L$57</f>
        <v>3570614</v>
      </c>
      <c r="M66" s="282">
        <f xml:space="preserve"> FinStat!M$57</f>
        <v>5319023</v>
      </c>
      <c r="N66" s="282">
        <f xml:space="preserve"> FinStat!N$57</f>
        <v>6014498</v>
      </c>
      <c r="O66" s="282">
        <f xml:space="preserve"> FinStat!O$57</f>
        <v>6289448</v>
      </c>
      <c r="P66" s="282">
        <f xml:space="preserve"> FinStat!P$57</f>
        <v>6330750.2876712317</v>
      </c>
      <c r="Q66" s="282">
        <f xml:space="preserve"> FinStat!Q$57</f>
        <v>7459776.0308219157</v>
      </c>
      <c r="R66" s="282">
        <f xml:space="preserve"> FinStat!R$57</f>
        <v>8794038.2754452042</v>
      </c>
      <c r="S66" s="282">
        <f xml:space="preserve"> FinStat!S$57</f>
        <v>10371499.024761984</v>
      </c>
      <c r="T66" s="282">
        <f xml:space="preserve"> FinStat!T$57</f>
        <v>12237249.888076281</v>
      </c>
      <c r="U66" s="282">
        <f xml:space="preserve"> FinStat!U$57</f>
        <v>14444868.582807723</v>
      </c>
      <c r="V66" s="282">
        <f xml:space="preserve"> FinStat!V$57</f>
        <v>0</v>
      </c>
      <c r="W66" s="282">
        <f xml:space="preserve"> FinStat!W$57</f>
        <v>0</v>
      </c>
    </row>
    <row r="67" spans="1:23">
      <c r="E67" s="282" t="str">
        <f xml:space="preserve"> FinStat!E$12</f>
        <v>Cost Of sales Actuals</v>
      </c>
      <c r="F67" s="282">
        <f xml:space="preserve"> FinStat!F$12</f>
        <v>0</v>
      </c>
      <c r="G67" s="282" t="str">
        <f xml:space="preserve"> FinStat!G$12</f>
        <v>Kes '000'</v>
      </c>
      <c r="H67" s="282">
        <f xml:space="preserve"> FinStat!H$12</f>
        <v>-160001368.31349143</v>
      </c>
      <c r="I67" s="282">
        <f xml:space="preserve"> FinStat!I$12</f>
        <v>0</v>
      </c>
      <c r="J67" s="282">
        <f xml:space="preserve"> FinStat!J$12</f>
        <v>-5142870</v>
      </c>
      <c r="K67" s="282">
        <f xml:space="preserve"> FinStat!K$12</f>
        <v>-5676057</v>
      </c>
      <c r="L67" s="282">
        <f xml:space="preserve"> FinStat!L$12</f>
        <v>-7512977</v>
      </c>
      <c r="M67" s="282">
        <f xml:space="preserve"> FinStat!M$12</f>
        <v>-11321085</v>
      </c>
      <c r="N67" s="282">
        <f xml:space="preserve"> FinStat!N$12</f>
        <v>-11030029</v>
      </c>
      <c r="O67" s="282">
        <f xml:space="preserve"> FinStat!O$12</f>
        <v>-10478668</v>
      </c>
      <c r="P67" s="282">
        <f xml:space="preserve"> FinStat!P$12</f>
        <v>-11553619.274999999</v>
      </c>
      <c r="Q67" s="282">
        <f xml:space="preserve"> FinStat!Q$12</f>
        <v>-13614091.256249998</v>
      </c>
      <c r="R67" s="282">
        <f xml:space="preserve"> FinStat!R$12</f>
        <v>-16049119.852687499</v>
      </c>
      <c r="S67" s="282">
        <f xml:space="preserve"> FinStat!S$12</f>
        <v>-18927985.720190622</v>
      </c>
      <c r="T67" s="282">
        <f xml:space="preserve"> FinStat!T$12</f>
        <v>-22332981.045739215</v>
      </c>
      <c r="U67" s="282">
        <f xml:space="preserve"> FinStat!U$12</f>
        <v>-26361885.163624097</v>
      </c>
      <c r="V67" s="282">
        <f xml:space="preserve"> FinStat!V$12</f>
        <v>0</v>
      </c>
      <c r="W67" s="282">
        <f xml:space="preserve"> FinStat!W$12</f>
        <v>0</v>
      </c>
    </row>
    <row r="68" spans="1:23">
      <c r="E68" s="58" t="s">
        <v>379</v>
      </c>
      <c r="F68" s="58">
        <f>AVERAGE(J68:W68)</f>
        <v>199.75352307962183</v>
      </c>
      <c r="G68" s="58" t="s">
        <v>370</v>
      </c>
      <c r="J68" s="58">
        <f>IF(AND(J67&lt;&gt;0,J66&lt;&gt;0),ABS($F$11/(J67/J66)),"NA")</f>
        <v>224.3496598202949</v>
      </c>
      <c r="K68" s="58">
        <f t="shared" ref="K68" si="44">IF(AND(K67&lt;&gt;0,K66&lt;&gt;0),ABS($F$11/(K67/K66)),"NA")</f>
        <v>209.62679638347538</v>
      </c>
      <c r="L68" s="58">
        <f t="shared" ref="L68" si="45">IF(AND(L67&lt;&gt;0,L66&lt;&gt;0),ABS($F$11/(L67/L66)),"NA")</f>
        <v>173.46973243762096</v>
      </c>
      <c r="M68" s="58">
        <f t="shared" ref="M68" si="46">IF(AND(M67&lt;&gt;0,M66&lt;&gt;0),ABS($F$11/(M67/M66)),"NA")</f>
        <v>171.48916336199224</v>
      </c>
      <c r="N68" s="58">
        <f t="shared" ref="N68" si="47">IF(AND(N67&lt;&gt;0,N66&lt;&gt;0),ABS($F$11/(N67/N66)),"NA")</f>
        <v>199.0286489727271</v>
      </c>
      <c r="O68" s="58">
        <f t="shared" ref="O68" si="48">IF(AND(O67&lt;&gt;0,O66&lt;&gt;0),ABS($F$11/(O67/O66)),"NA")</f>
        <v>219.07827597935159</v>
      </c>
      <c r="P68" s="58">
        <f t="shared" ref="P68" si="49">IF(AND(P67&lt;&gt;0,P66&lt;&gt;0),ABS($F$11/(P67/P66)),"NA")</f>
        <v>199.99999999999997</v>
      </c>
      <c r="Q68" s="58">
        <f t="shared" ref="Q68" si="50">IF(AND(Q67&lt;&gt;0,Q66&lt;&gt;0),ABS($F$11/(Q67/Q66)),"NA")</f>
        <v>199.99999999999997</v>
      </c>
      <c r="R68" s="58">
        <f t="shared" ref="R68" si="51">IF(AND(R67&lt;&gt;0,R66&lt;&gt;0),ABS($F$11/(R67/R66)),"NA")</f>
        <v>199.99999999999997</v>
      </c>
      <c r="S68" s="58">
        <f t="shared" ref="S68" si="52">IF(AND(S67&lt;&gt;0,S66&lt;&gt;0),ABS($F$11/(S67/S66)),"NA")</f>
        <v>199.99999999999997</v>
      </c>
      <c r="T68" s="58">
        <f t="shared" ref="T68" si="53">IF(AND(T67&lt;&gt;0,T66&lt;&gt;0),ABS($F$11/(T67/T66)),"NA")</f>
        <v>199.99999999999997</v>
      </c>
      <c r="U68" s="58">
        <f t="shared" ref="U68" si="54">IF(AND(U67&lt;&gt;0,U66&lt;&gt;0),ABS($F$11/(U67/U66)),"NA")</f>
        <v>199.99999999999997</v>
      </c>
      <c r="V68" s="58" t="str">
        <f t="shared" ref="V68" si="55">IF(AND(V67&lt;&gt;0,V66&lt;&gt;0),ABS($F$11/(V67/V66)),"NA")</f>
        <v>NA</v>
      </c>
      <c r="W68" s="58" t="str">
        <f t="shared" ref="W68" si="56">IF(AND(W67&lt;&gt;0,W66&lt;&gt;0),ABS($F$11/(W67/W66)),"NA")</f>
        <v>NA</v>
      </c>
    </row>
    <row r="70" spans="1:23">
      <c r="C70" s="16" t="s">
        <v>380</v>
      </c>
    </row>
    <row r="72" spans="1:23">
      <c r="E72" s="282" t="str">
        <f xml:space="preserve"> InpS!E$52</f>
        <v>Forecast Trade Payables Days</v>
      </c>
      <c r="F72" s="282">
        <f xml:space="preserve"> InpS!F$52</f>
        <v>0</v>
      </c>
      <c r="G72" s="282" t="str">
        <f xml:space="preserve"> InpS!G$52</f>
        <v>Days</v>
      </c>
      <c r="H72" s="282">
        <f xml:space="preserve"> InpS!H$52</f>
        <v>0</v>
      </c>
      <c r="I72" s="282">
        <f xml:space="preserve"> InpS!I$52</f>
        <v>0</v>
      </c>
      <c r="J72" s="282">
        <f xml:space="preserve"> InpS!J$52</f>
        <v>0</v>
      </c>
      <c r="K72" s="282">
        <f xml:space="preserve"> InpS!K$52</f>
        <v>0</v>
      </c>
      <c r="L72" s="282">
        <f xml:space="preserve"> InpS!L$52</f>
        <v>0</v>
      </c>
      <c r="M72" s="282">
        <f xml:space="preserve"> InpS!M$52</f>
        <v>0</v>
      </c>
      <c r="N72" s="282">
        <f xml:space="preserve"> InpS!N$52</f>
        <v>0</v>
      </c>
      <c r="O72" s="282">
        <f xml:space="preserve"> InpS!O$52</f>
        <v>0</v>
      </c>
      <c r="P72" s="282">
        <f xml:space="preserve"> InpS!P$52</f>
        <v>200</v>
      </c>
      <c r="Q72" s="282">
        <f xml:space="preserve"> InpS!Q$52</f>
        <v>200</v>
      </c>
      <c r="R72" s="282">
        <f xml:space="preserve"> InpS!R$52</f>
        <v>200</v>
      </c>
      <c r="S72" s="282">
        <f xml:space="preserve"> InpS!S$52</f>
        <v>200</v>
      </c>
      <c r="T72" s="282">
        <f xml:space="preserve"> InpS!T$52</f>
        <v>200</v>
      </c>
      <c r="U72" s="282">
        <f xml:space="preserve"> InpS!U$52</f>
        <v>200</v>
      </c>
      <c r="V72" s="282">
        <f xml:space="preserve"> InpS!V$52</f>
        <v>200</v>
      </c>
      <c r="W72" s="282">
        <f xml:space="preserve"> InpS!W$52</f>
        <v>200</v>
      </c>
    </row>
    <row r="74" spans="1:23">
      <c r="C74" s="16" t="s">
        <v>378</v>
      </c>
    </row>
    <row r="76" spans="1:23">
      <c r="E76" s="282" t="str">
        <f xml:space="preserve"> InpC!E$24</f>
        <v>Days in year</v>
      </c>
      <c r="F76" s="282">
        <f xml:space="preserve"> InpC!F$24</f>
        <v>365</v>
      </c>
      <c r="G76" s="282" t="str">
        <f xml:space="preserve"> InpC!G$24</f>
        <v>days</v>
      </c>
      <c r="H76" s="27"/>
      <c r="I76" s="27"/>
      <c r="J76" s="27"/>
      <c r="K76" s="27"/>
      <c r="L76" s="27"/>
      <c r="M76" s="27"/>
      <c r="N76" s="27"/>
      <c r="O76" s="27"/>
      <c r="P76" s="27"/>
      <c r="Q76" s="27"/>
      <c r="R76" s="27"/>
      <c r="S76" s="27"/>
      <c r="T76" s="27"/>
      <c r="U76" s="27"/>
      <c r="V76" s="27"/>
      <c r="W76" s="27"/>
    </row>
    <row r="77" spans="1:23">
      <c r="E77" s="282" t="str">
        <f xml:space="preserve"> OpCost!E$24</f>
        <v>Forecast Cost of Sales</v>
      </c>
      <c r="F77" s="282">
        <f xml:space="preserve"> OpCost!F$24</f>
        <v>0</v>
      </c>
      <c r="G77" s="282" t="str">
        <f xml:space="preserve"> OpCost!G$24</f>
        <v>Kes '000'</v>
      </c>
      <c r="H77" s="282">
        <f xml:space="preserve"> OpCost!H$24</f>
        <v>-108839682.31349142</v>
      </c>
      <c r="I77" s="282">
        <f xml:space="preserve"> OpCost!I$24</f>
        <v>0</v>
      </c>
      <c r="J77" s="282">
        <f xml:space="preserve"> OpCost!J$24</f>
        <v>0</v>
      </c>
      <c r="K77" s="282">
        <f xml:space="preserve"> OpCost!K$24</f>
        <v>0</v>
      </c>
      <c r="L77" s="282">
        <f xml:space="preserve"> OpCost!L$24</f>
        <v>0</v>
      </c>
      <c r="M77" s="282">
        <f xml:space="preserve"> OpCost!M$24</f>
        <v>0</v>
      </c>
      <c r="N77" s="282">
        <f xml:space="preserve"> OpCost!N$24</f>
        <v>0</v>
      </c>
      <c r="O77" s="282">
        <f xml:space="preserve"> OpCost!O$24</f>
        <v>0</v>
      </c>
      <c r="P77" s="282">
        <f xml:space="preserve"> OpCost!P$24</f>
        <v>-11553619.274999999</v>
      </c>
      <c r="Q77" s="282">
        <f xml:space="preserve"> OpCost!Q$24</f>
        <v>-13614091.256249998</v>
      </c>
      <c r="R77" s="282">
        <f xml:space="preserve"> OpCost!R$24</f>
        <v>-16049119.852687499</v>
      </c>
      <c r="S77" s="282">
        <f xml:space="preserve"> OpCost!S$24</f>
        <v>-18927985.720190622</v>
      </c>
      <c r="T77" s="282">
        <f xml:space="preserve"> OpCost!T$24</f>
        <v>-22332981.045739215</v>
      </c>
      <c r="U77" s="282">
        <f xml:space="preserve"> OpCost!U$24</f>
        <v>-26361885.163624097</v>
      </c>
      <c r="V77" s="282">
        <f xml:space="preserve"> OpCost!V$24</f>
        <v>0</v>
      </c>
      <c r="W77" s="282">
        <f xml:space="preserve"> OpCost!W$24</f>
        <v>0</v>
      </c>
    </row>
    <row r="78" spans="1:23">
      <c r="E78" s="27" t="str">
        <f xml:space="preserve"> E$18</f>
        <v>Forecast Inventory Days</v>
      </c>
      <c r="F78" s="27">
        <f t="shared" ref="F78:O78" si="57" xml:space="preserve"> F$18</f>
        <v>0</v>
      </c>
      <c r="G78" s="27" t="str">
        <f t="shared" si="57"/>
        <v>Days</v>
      </c>
      <c r="H78" s="27">
        <f t="shared" si="57"/>
        <v>0</v>
      </c>
      <c r="I78" s="27">
        <f t="shared" si="57"/>
        <v>0</v>
      </c>
      <c r="J78" s="27">
        <f t="shared" si="57"/>
        <v>0</v>
      </c>
      <c r="K78" s="27">
        <f t="shared" si="57"/>
        <v>0</v>
      </c>
      <c r="L78" s="27">
        <f t="shared" si="57"/>
        <v>0</v>
      </c>
      <c r="M78" s="27">
        <f t="shared" si="57"/>
        <v>0</v>
      </c>
      <c r="N78" s="27">
        <f t="shared" si="57"/>
        <v>0</v>
      </c>
      <c r="O78" s="27">
        <f t="shared" si="57"/>
        <v>0</v>
      </c>
      <c r="P78" s="27">
        <f xml:space="preserve"> P$72</f>
        <v>200</v>
      </c>
      <c r="Q78" s="27">
        <f t="shared" ref="Q78:W78" si="58" xml:space="preserve"> Q$72</f>
        <v>200</v>
      </c>
      <c r="R78" s="27">
        <f t="shared" si="58"/>
        <v>200</v>
      </c>
      <c r="S78" s="27">
        <f t="shared" si="58"/>
        <v>200</v>
      </c>
      <c r="T78" s="27">
        <f t="shared" si="58"/>
        <v>200</v>
      </c>
      <c r="U78" s="27">
        <f t="shared" si="58"/>
        <v>200</v>
      </c>
      <c r="V78" s="27">
        <f t="shared" si="58"/>
        <v>200</v>
      </c>
      <c r="W78" s="27">
        <f t="shared" si="58"/>
        <v>200</v>
      </c>
    </row>
    <row r="79" spans="1:23" s="191" customFormat="1">
      <c r="A79" s="188"/>
      <c r="B79" s="189"/>
      <c r="C79" s="291"/>
      <c r="D79" s="190"/>
      <c r="E79" s="191" t="s">
        <v>378</v>
      </c>
      <c r="F79" s="191" t="s">
        <v>251</v>
      </c>
      <c r="G79" s="191" t="str">
        <f>smu</f>
        <v>Kes '000'</v>
      </c>
      <c r="J79" s="191">
        <f>ABS(J77*(J78/$F$22))</f>
        <v>0</v>
      </c>
      <c r="K79" s="191">
        <f t="shared" ref="K79" si="59">ABS(K77*(K78/$F$22))</f>
        <v>0</v>
      </c>
      <c r="L79" s="191">
        <f t="shared" ref="L79" si="60">ABS(L77*(L78/$F$22))</f>
        <v>0</v>
      </c>
      <c r="M79" s="191">
        <f t="shared" ref="M79" si="61">ABS(M77*(M78/$F$22))</f>
        <v>0</v>
      </c>
      <c r="N79" s="191">
        <f t="shared" ref="N79" si="62">ABS(N77*(N78/$F$22))</f>
        <v>0</v>
      </c>
      <c r="O79" s="191">
        <f t="shared" ref="O79" si="63">ABS(O77*(O78/$F$22))</f>
        <v>0</v>
      </c>
      <c r="P79" s="191">
        <f t="shared" ref="P79" si="64">ABS(P77*(P78/$F$22))</f>
        <v>6330750.2876712317</v>
      </c>
      <c r="Q79" s="191">
        <f t="shared" ref="Q79" si="65">ABS(Q77*(Q78/$F$22))</f>
        <v>7459776.0308219157</v>
      </c>
      <c r="R79" s="191">
        <f t="shared" ref="R79" si="66">ABS(R77*(R78/$F$22))</f>
        <v>8794038.2754452042</v>
      </c>
      <c r="S79" s="191">
        <f t="shared" ref="S79" si="67">ABS(S77*(S78/$F$22))</f>
        <v>10371499.024761984</v>
      </c>
      <c r="T79" s="191">
        <f t="shared" ref="T79" si="68">ABS(T77*(T78/$F$22))</f>
        <v>12237249.888076281</v>
      </c>
      <c r="U79" s="191">
        <f t="shared" ref="U79" si="69">ABS(U77*(U78/$F$22))</f>
        <v>14444868.582807723</v>
      </c>
      <c r="V79" s="191">
        <f t="shared" ref="V79" si="70">ABS(V77*(V78/$F$22))</f>
        <v>0</v>
      </c>
      <c r="W79" s="191">
        <f t="shared" ref="W79" si="71">ABS(W77*(W78/$F$22))</f>
        <v>0</v>
      </c>
    </row>
    <row r="81" spans="1:23">
      <c r="B81" s="4" t="s">
        <v>381</v>
      </c>
    </row>
    <row r="83" spans="1:23">
      <c r="E83" s="282" t="str">
        <f xml:space="preserve"> FinStat!E$57</f>
        <v>Total Trade Payables</v>
      </c>
      <c r="F83" s="282">
        <f xml:space="preserve"> FinStat!F$57</f>
        <v>0</v>
      </c>
      <c r="G83" s="282" t="str">
        <f xml:space="preserve"> FinStat!G$57</f>
        <v>Kes '000'</v>
      </c>
      <c r="H83" s="282">
        <f xml:space="preserve"> FinStat!H$57</f>
        <v>0</v>
      </c>
      <c r="I83" s="282">
        <f xml:space="preserve"> FinStat!I$57</f>
        <v>0</v>
      </c>
      <c r="J83" s="282">
        <f xml:space="preserve"> FinStat!J$57</f>
        <v>3161099</v>
      </c>
      <c r="K83" s="282">
        <f xml:space="preserve"> FinStat!K$57</f>
        <v>3259873</v>
      </c>
      <c r="L83" s="282">
        <f xml:space="preserve"> FinStat!L$57</f>
        <v>3570614</v>
      </c>
      <c r="M83" s="282">
        <f xml:space="preserve"> FinStat!M$57</f>
        <v>5319023</v>
      </c>
      <c r="N83" s="282">
        <f xml:space="preserve"> FinStat!N$57</f>
        <v>6014498</v>
      </c>
      <c r="O83" s="282">
        <f xml:space="preserve"> FinStat!O$57</f>
        <v>6289448</v>
      </c>
      <c r="P83" s="282">
        <f xml:space="preserve"> FinStat!P$57</f>
        <v>6330750.2876712317</v>
      </c>
      <c r="Q83" s="282">
        <f xml:space="preserve"> FinStat!Q$57</f>
        <v>7459776.0308219157</v>
      </c>
      <c r="R83" s="282">
        <f xml:space="preserve"> FinStat!R$57</f>
        <v>8794038.2754452042</v>
      </c>
      <c r="S83" s="282">
        <f xml:space="preserve"> FinStat!S$57</f>
        <v>10371499.024761984</v>
      </c>
      <c r="T83" s="282">
        <f xml:space="preserve"> FinStat!T$57</f>
        <v>12237249.888076281</v>
      </c>
      <c r="U83" s="282">
        <f xml:space="preserve"> FinStat!U$57</f>
        <v>14444868.582807723</v>
      </c>
      <c r="V83" s="282">
        <f xml:space="preserve"> FinStat!V$57</f>
        <v>0</v>
      </c>
      <c r="W83" s="282">
        <f xml:space="preserve"> FinStat!W$57</f>
        <v>0</v>
      </c>
    </row>
    <row r="84" spans="1:23">
      <c r="E84" s="58" t="s">
        <v>382</v>
      </c>
      <c r="G84" s="58" t="str">
        <f>smu</f>
        <v>Kes '000'</v>
      </c>
      <c r="J84" s="58">
        <f>J83-I83</f>
        <v>3161099</v>
      </c>
      <c r="K84" s="58">
        <f t="shared" ref="K84:W84" si="72">K83-J83</f>
        <v>98774</v>
      </c>
      <c r="L84" s="58">
        <f t="shared" si="72"/>
        <v>310741</v>
      </c>
      <c r="M84" s="58">
        <f t="shared" si="72"/>
        <v>1748409</v>
      </c>
      <c r="N84" s="58">
        <f t="shared" si="72"/>
        <v>695475</v>
      </c>
      <c r="O84" s="58">
        <f t="shared" si="72"/>
        <v>274950</v>
      </c>
      <c r="P84" s="58">
        <f t="shared" si="72"/>
        <v>41302.287671231665</v>
      </c>
      <c r="Q84" s="58">
        <f t="shared" si="72"/>
        <v>1129025.7431506841</v>
      </c>
      <c r="R84" s="58">
        <f t="shared" si="72"/>
        <v>1334262.2446232885</v>
      </c>
      <c r="S84" s="58">
        <f t="shared" si="72"/>
        <v>1577460.7493167799</v>
      </c>
      <c r="T84" s="58">
        <f t="shared" si="72"/>
        <v>1865750.8633142971</v>
      </c>
      <c r="U84" s="58">
        <f t="shared" si="72"/>
        <v>2207618.6947314423</v>
      </c>
      <c r="V84" s="58">
        <f t="shared" si="72"/>
        <v>-14444868.582807723</v>
      </c>
      <c r="W84" s="58">
        <f t="shared" si="72"/>
        <v>0</v>
      </c>
    </row>
    <row r="85" spans="1:23">
      <c r="E85" s="282" t="str">
        <f xml:space="preserve"> Time!E$43</f>
        <v>Forecast period flag</v>
      </c>
      <c r="F85" s="282">
        <f xml:space="preserve"> Time!F$43</f>
        <v>0</v>
      </c>
      <c r="G85" s="282" t="str">
        <f xml:space="preserve"> Time!G$43</f>
        <v>flag</v>
      </c>
      <c r="H85" s="282">
        <f xml:space="preserve"> Time!H$43</f>
        <v>6</v>
      </c>
      <c r="I85" s="282">
        <f xml:space="preserve"> Time!I$43</f>
        <v>0</v>
      </c>
      <c r="J85" s="282">
        <f xml:space="preserve"> Time!J$43</f>
        <v>0</v>
      </c>
      <c r="K85" s="282">
        <f xml:space="preserve"> Time!K$43</f>
        <v>0</v>
      </c>
      <c r="L85" s="282">
        <f xml:space="preserve"> Time!L$43</f>
        <v>0</v>
      </c>
      <c r="M85" s="282">
        <f xml:space="preserve"> Time!M$43</f>
        <v>0</v>
      </c>
      <c r="N85" s="282">
        <f xml:space="preserve"> Time!N$43</f>
        <v>0</v>
      </c>
      <c r="O85" s="282">
        <f xml:space="preserve"> Time!O$43</f>
        <v>0</v>
      </c>
      <c r="P85" s="282">
        <f xml:space="preserve"> Time!P$43</f>
        <v>1</v>
      </c>
      <c r="Q85" s="282">
        <f xml:space="preserve"> Time!Q$43</f>
        <v>1</v>
      </c>
      <c r="R85" s="282">
        <f xml:space="preserve"> Time!R$43</f>
        <v>1</v>
      </c>
      <c r="S85" s="282">
        <f xml:space="preserve"> Time!S$43</f>
        <v>1</v>
      </c>
      <c r="T85" s="282">
        <f xml:space="preserve"> Time!T$43</f>
        <v>1</v>
      </c>
      <c r="U85" s="282">
        <f xml:space="preserve"> Time!U$43</f>
        <v>1</v>
      </c>
      <c r="V85" s="282">
        <f xml:space="preserve"> Time!V$43</f>
        <v>0</v>
      </c>
      <c r="W85" s="282">
        <f xml:space="preserve"> Time!W$43</f>
        <v>0</v>
      </c>
    </row>
    <row r="86" spans="1:23" s="191" customFormat="1">
      <c r="A86" s="188"/>
      <c r="B86" s="189"/>
      <c r="C86" s="291"/>
      <c r="D86" s="190"/>
      <c r="E86" s="191" t="str">
        <f>"Forecast"&amp;" "&amp;E84</f>
        <v>Forecast Change In Trade Payables</v>
      </c>
      <c r="F86" s="191" t="s">
        <v>295</v>
      </c>
      <c r="G86" s="191" t="str">
        <f>smu</f>
        <v>Kes '000'</v>
      </c>
      <c r="H86" s="191">
        <f xml:space="preserve"> SUM(J86:W86)</f>
        <v>8155420.5828077234</v>
      </c>
      <c r="J86" s="191">
        <f>J84*J85</f>
        <v>0</v>
      </c>
      <c r="K86" s="191">
        <f t="shared" ref="K86:W86" si="73">K84*K85</f>
        <v>0</v>
      </c>
      <c r="L86" s="191">
        <f t="shared" si="73"/>
        <v>0</v>
      </c>
      <c r="M86" s="191">
        <f t="shared" si="73"/>
        <v>0</v>
      </c>
      <c r="N86" s="191">
        <f t="shared" si="73"/>
        <v>0</v>
      </c>
      <c r="O86" s="191">
        <f t="shared" si="73"/>
        <v>0</v>
      </c>
      <c r="P86" s="191">
        <f t="shared" si="73"/>
        <v>41302.287671231665</v>
      </c>
      <c r="Q86" s="191">
        <f t="shared" si="73"/>
        <v>1129025.7431506841</v>
      </c>
      <c r="R86" s="191">
        <f t="shared" si="73"/>
        <v>1334262.2446232885</v>
      </c>
      <c r="S86" s="191">
        <f t="shared" si="73"/>
        <v>1577460.7493167799</v>
      </c>
      <c r="T86" s="191">
        <f t="shared" si="73"/>
        <v>1865750.8633142971</v>
      </c>
      <c r="U86" s="191">
        <f t="shared" si="73"/>
        <v>2207618.6947314423</v>
      </c>
      <c r="V86" s="191">
        <f t="shared" si="73"/>
        <v>0</v>
      </c>
      <c r="W86" s="191">
        <f t="shared" si="73"/>
        <v>0</v>
      </c>
    </row>
    <row r="88" spans="1:23">
      <c r="B88" s="4" t="s">
        <v>383</v>
      </c>
    </row>
    <row r="90" spans="1:23">
      <c r="E90" s="27" t="str">
        <f xml:space="preserve"> E$86</f>
        <v>Forecast Change In Trade Payables</v>
      </c>
      <c r="F90" s="27" t="str">
        <f t="shared" ref="F90:W90" si="74" xml:space="preserve"> F$86</f>
        <v>CF</v>
      </c>
      <c r="G90" s="27" t="str">
        <f t="shared" si="74"/>
        <v>Kes '000'</v>
      </c>
      <c r="H90" s="27">
        <f t="shared" si="74"/>
        <v>8155420.5828077234</v>
      </c>
      <c r="I90" s="27">
        <f t="shared" si="74"/>
        <v>0</v>
      </c>
      <c r="J90" s="27">
        <f t="shared" si="74"/>
        <v>0</v>
      </c>
      <c r="K90" s="27">
        <f t="shared" si="74"/>
        <v>0</v>
      </c>
      <c r="L90" s="27">
        <f t="shared" si="74"/>
        <v>0</v>
      </c>
      <c r="M90" s="27">
        <f t="shared" si="74"/>
        <v>0</v>
      </c>
      <c r="N90" s="27">
        <f t="shared" si="74"/>
        <v>0</v>
      </c>
      <c r="O90" s="27">
        <f t="shared" si="74"/>
        <v>0</v>
      </c>
      <c r="P90" s="27">
        <f t="shared" si="74"/>
        <v>41302.287671231665</v>
      </c>
      <c r="Q90" s="27">
        <f t="shared" si="74"/>
        <v>1129025.7431506841</v>
      </c>
      <c r="R90" s="27">
        <f t="shared" si="74"/>
        <v>1334262.2446232885</v>
      </c>
      <c r="S90" s="27">
        <f t="shared" si="74"/>
        <v>1577460.7493167799</v>
      </c>
      <c r="T90" s="27">
        <f t="shared" si="74"/>
        <v>1865750.8633142971</v>
      </c>
      <c r="U90" s="27">
        <f t="shared" si="74"/>
        <v>2207618.6947314423</v>
      </c>
      <c r="V90" s="27">
        <f t="shared" si="74"/>
        <v>0</v>
      </c>
      <c r="W90" s="27">
        <f t="shared" si="74"/>
        <v>0</v>
      </c>
    </row>
    <row r="91" spans="1:23">
      <c r="E91" s="27" t="str">
        <f xml:space="preserve"> E$59</f>
        <v>Forecast Change In Receivables &amp; Pre-payments</v>
      </c>
      <c r="F91" s="27" t="str">
        <f t="shared" ref="F91:W91" si="75" xml:space="preserve"> F$59</f>
        <v>CF</v>
      </c>
      <c r="G91" s="27" t="str">
        <f t="shared" si="75"/>
        <v>Kes '000'</v>
      </c>
      <c r="H91" s="27">
        <f t="shared" si="75"/>
        <v>-3817720.3488880927</v>
      </c>
      <c r="I91" s="27">
        <f t="shared" si="75"/>
        <v>0</v>
      </c>
      <c r="J91" s="27">
        <f t="shared" si="75"/>
        <v>0</v>
      </c>
      <c r="K91" s="27">
        <f t="shared" si="75"/>
        <v>0</v>
      </c>
      <c r="L91" s="27">
        <f t="shared" si="75"/>
        <v>0</v>
      </c>
      <c r="M91" s="27">
        <f t="shared" si="75"/>
        <v>0</v>
      </c>
      <c r="N91" s="27">
        <f t="shared" si="75"/>
        <v>0</v>
      </c>
      <c r="O91" s="27">
        <f t="shared" si="75"/>
        <v>0</v>
      </c>
      <c r="P91" s="27">
        <f t="shared" si="75"/>
        <v>482762.34753424721</v>
      </c>
      <c r="Q91" s="27">
        <f t="shared" si="75"/>
        <v>-598383.64386986243</v>
      </c>
      <c r="R91" s="27">
        <f t="shared" si="75"/>
        <v>-707158.98965034261</v>
      </c>
      <c r="S91" s="27">
        <f t="shared" si="75"/>
        <v>-836054.19713789318</v>
      </c>
      <c r="T91" s="27">
        <f t="shared" si="75"/>
        <v>-988847.95755657833</v>
      </c>
      <c r="U91" s="27">
        <f t="shared" si="75"/>
        <v>-1170037.9082076633</v>
      </c>
      <c r="V91" s="27">
        <f t="shared" si="75"/>
        <v>0</v>
      </c>
      <c r="W91" s="27">
        <f t="shared" si="75"/>
        <v>0</v>
      </c>
    </row>
    <row r="92" spans="1:23">
      <c r="E92" s="27" t="str">
        <f xml:space="preserve"> E$32</f>
        <v>Forecast Change In Inventory</v>
      </c>
      <c r="F92" s="27" t="str">
        <f t="shared" ref="F92:W92" si="76" xml:space="preserve"> F$32</f>
        <v>CF</v>
      </c>
      <c r="G92" s="27" t="str">
        <f t="shared" si="76"/>
        <v>Kes '000'</v>
      </c>
      <c r="H92" s="27">
        <f t="shared" si="76"/>
        <v>-6134911.4083636776</v>
      </c>
      <c r="I92" s="27">
        <f t="shared" si="76"/>
        <v>0</v>
      </c>
      <c r="J92" s="27">
        <f t="shared" si="76"/>
        <v>0</v>
      </c>
      <c r="K92" s="27">
        <f t="shared" si="76"/>
        <v>0</v>
      </c>
      <c r="L92" s="27">
        <f t="shared" si="76"/>
        <v>0</v>
      </c>
      <c r="M92" s="27">
        <f t="shared" si="76"/>
        <v>0</v>
      </c>
      <c r="N92" s="27">
        <f t="shared" si="76"/>
        <v>0</v>
      </c>
      <c r="O92" s="27">
        <f t="shared" si="76"/>
        <v>0</v>
      </c>
      <c r="P92" s="27">
        <f t="shared" si="76"/>
        <v>-171034.46143835597</v>
      </c>
      <c r="Q92" s="27">
        <f t="shared" si="76"/>
        <v>-829833.92121575307</v>
      </c>
      <c r="R92" s="27">
        <f t="shared" si="76"/>
        <v>-980682.74979811627</v>
      </c>
      <c r="S92" s="27">
        <f t="shared" si="76"/>
        <v>-1159433.6507478338</v>
      </c>
      <c r="T92" s="27">
        <f t="shared" si="76"/>
        <v>-1371326.8845360093</v>
      </c>
      <c r="U92" s="27">
        <f t="shared" si="76"/>
        <v>-1622599.7406276092</v>
      </c>
      <c r="V92" s="27">
        <f t="shared" si="76"/>
        <v>0</v>
      </c>
      <c r="W92" s="27">
        <f t="shared" si="76"/>
        <v>0</v>
      </c>
    </row>
    <row r="93" spans="1:23" s="191" customFormat="1">
      <c r="A93" s="188"/>
      <c r="B93" s="189"/>
      <c r="C93" s="291"/>
      <c r="D93" s="190"/>
      <c r="E93" s="191" t="s">
        <v>384</v>
      </c>
      <c r="F93" s="191" t="s">
        <v>295</v>
      </c>
      <c r="G93" s="191" t="str">
        <f>smu</f>
        <v>Kes '000'</v>
      </c>
      <c r="H93" s="191">
        <f xml:space="preserve"> SUM(J93:W93)</f>
        <v>-1797211.1744440468</v>
      </c>
      <c r="J93" s="191">
        <f>SUM(J90:J92)</f>
        <v>0</v>
      </c>
      <c r="K93" s="191">
        <f t="shared" ref="K93:W93" si="77">SUM(K90:K92)</f>
        <v>0</v>
      </c>
      <c r="L93" s="191">
        <f t="shared" si="77"/>
        <v>0</v>
      </c>
      <c r="M93" s="191">
        <f t="shared" si="77"/>
        <v>0</v>
      </c>
      <c r="N93" s="191">
        <f t="shared" si="77"/>
        <v>0</v>
      </c>
      <c r="O93" s="191">
        <f t="shared" si="77"/>
        <v>0</v>
      </c>
      <c r="P93" s="191">
        <f t="shared" si="77"/>
        <v>353030.17376712291</v>
      </c>
      <c r="Q93" s="191">
        <f t="shared" si="77"/>
        <v>-299191.82193493145</v>
      </c>
      <c r="R93" s="191">
        <f t="shared" si="77"/>
        <v>-353579.49482517038</v>
      </c>
      <c r="S93" s="191">
        <f t="shared" si="77"/>
        <v>-418027.09856894705</v>
      </c>
      <c r="T93" s="191">
        <f t="shared" si="77"/>
        <v>-494423.97877829056</v>
      </c>
      <c r="U93" s="191">
        <f t="shared" si="77"/>
        <v>-585018.95410383027</v>
      </c>
      <c r="V93" s="191">
        <f t="shared" si="77"/>
        <v>0</v>
      </c>
      <c r="W93" s="191">
        <f t="shared" si="77"/>
        <v>0</v>
      </c>
    </row>
  </sheetData>
  <conditionalFormatting sqref="F2">
    <cfRule type="cellIs" dxfId="15" priority="1" stopIfTrue="1" operator="notEqual">
      <formula>0</formula>
    </cfRule>
    <cfRule type="cellIs" dxfId="14" priority="2" stopIfTrue="1" operator="equal">
      <formula>""</formula>
    </cfRule>
  </conditionalFormatting>
  <conditionalFormatting sqref="J3:BY3">
    <cfRule type="cellIs" dxfId="13" priority="5" stopIfTrue="1" operator="equal">
      <formula>"Pre-forecast"</formula>
    </cfRule>
    <cfRule type="cellIs" dxfId="12"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0" tint="-0.14999847407452621"/>
    <outlinePr summaryBelow="0" summaryRight="0"/>
  </sheetPr>
  <dimension ref="A1:BY74"/>
  <sheetViews>
    <sheetView defaultGridColor="0" colorId="22" zoomScale="80" workbookViewId="0">
      <pane xSplit="9" ySplit="5" topLeftCell="J6" activePane="bottomRight" state="frozen"/>
      <selection activeCell="F2" sqref="F2"/>
      <selection pane="topRight" activeCell="F2" sqref="F2"/>
      <selection pane="bottomLeft" activeCell="F2" sqref="F2"/>
      <selection pane="bottomRight" activeCell="J13" sqref="J13"/>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0.7109375" style="58" customWidth="1"/>
    <col min="6" max="6" width="12.7109375" style="58" customWidth="1"/>
    <col min="7" max="7" width="11.7109375" style="58" customWidth="1"/>
    <col min="8" max="8" width="12.28515625" style="58" bestFit="1" customWidth="1"/>
    <col min="9" max="9" width="2.7109375" style="58" customWidth="1"/>
    <col min="10" max="20" width="11.7109375" style="58" customWidth="1"/>
    <col min="21" max="21" width="12.7109375" style="58" bestFit="1" customWidth="1"/>
    <col min="22"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Valn</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34" customFormat="1">
      <c r="A7" s="130"/>
      <c r="B7" s="131" t="s">
        <v>390</v>
      </c>
      <c r="C7" s="132"/>
      <c r="D7" s="133"/>
    </row>
    <row r="9" spans="1:77">
      <c r="E9" s="282" t="str">
        <f xml:space="preserve"> FinStat!E$19</f>
        <v>EBITDA</v>
      </c>
      <c r="F9" s="282">
        <f xml:space="preserve"> FinStat!F$19</f>
        <v>0</v>
      </c>
      <c r="G9" s="282" t="str">
        <f xml:space="preserve"> FinStat!G$19</f>
        <v>Kes '000'</v>
      </c>
      <c r="H9" s="282">
        <f xml:space="preserve"> FinStat!H$19</f>
        <v>106207660.63034081</v>
      </c>
      <c r="I9" s="282">
        <f xml:space="preserve"> FinStat!I$19</f>
        <v>0</v>
      </c>
      <c r="J9" s="282">
        <f xml:space="preserve"> FinStat!J$19</f>
        <v>3052172</v>
      </c>
      <c r="K9" s="282">
        <f xml:space="preserve"> FinStat!K$19</f>
        <v>2821013</v>
      </c>
      <c r="L9" s="282">
        <f xml:space="preserve"> FinStat!L$19</f>
        <v>3451479</v>
      </c>
      <c r="M9" s="282">
        <f xml:space="preserve"> FinStat!M$19</f>
        <v>6132225</v>
      </c>
      <c r="N9" s="282">
        <f xml:space="preserve"> FinStat!N$19</f>
        <v>6058635</v>
      </c>
      <c r="O9" s="282">
        <f xml:space="preserve"> FinStat!O$19</f>
        <v>6109886</v>
      </c>
      <c r="P9" s="282">
        <f xml:space="preserve"> FinStat!P$19</f>
        <v>8341713.1165499985</v>
      </c>
      <c r="Q9" s="282">
        <f xml:space="preserve"> FinStat!Q$19</f>
        <v>9829373.8870124966</v>
      </c>
      <c r="R9" s="282">
        <f xml:space="preserve"> FinStat!R$19</f>
        <v>11587464.533640373</v>
      </c>
      <c r="S9" s="282">
        <f xml:space="preserve"> FinStat!S$19</f>
        <v>13666005.689977627</v>
      </c>
      <c r="T9" s="282">
        <f xml:space="preserve"> FinStat!T$19</f>
        <v>16124412.315023715</v>
      </c>
      <c r="U9" s="282">
        <f xml:space="preserve"> FinStat!U$19</f>
        <v>19033281.088136598</v>
      </c>
      <c r="V9" s="282">
        <f xml:space="preserve"> FinStat!V$19</f>
        <v>0</v>
      </c>
      <c r="W9" s="282">
        <f xml:space="preserve"> FinStat!W$19</f>
        <v>0</v>
      </c>
    </row>
    <row r="10" spans="1:77">
      <c r="E10" s="282" t="str">
        <f xml:space="preserve"> FinStat!E$76</f>
        <v>Income tax paid</v>
      </c>
      <c r="F10" s="282">
        <f xml:space="preserve"> FinStat!F$76</f>
        <v>0</v>
      </c>
      <c r="G10" s="282" t="str">
        <f xml:space="preserve"> FinStat!G$76</f>
        <v>Kes '000'</v>
      </c>
      <c r="H10" s="282">
        <f xml:space="preserve"> FinStat!H$76</f>
        <v>-28240596.862435576</v>
      </c>
      <c r="I10" s="282">
        <f xml:space="preserve"> FinStat!I$76</f>
        <v>0</v>
      </c>
      <c r="J10" s="282">
        <f xml:space="preserve"> FinStat!J$76</f>
        <v>-587588</v>
      </c>
      <c r="K10" s="282">
        <f xml:space="preserve"> FinStat!K$76</f>
        <v>-967985</v>
      </c>
      <c r="L10" s="282">
        <f xml:space="preserve"> FinStat!L$76</f>
        <v>-750731</v>
      </c>
      <c r="M10" s="282">
        <f xml:space="preserve"> FinStat!M$76</f>
        <v>-1350923</v>
      </c>
      <c r="N10" s="282">
        <f xml:space="preserve"> FinStat!N$76</f>
        <v>-1732218</v>
      </c>
      <c r="O10" s="282">
        <f xml:space="preserve"> FinStat!O$76</f>
        <v>-1357077</v>
      </c>
      <c r="P10" s="282">
        <f xml:space="preserve"> FinStat!P$76</f>
        <v>-2252823.4916316662</v>
      </c>
      <c r="Q10" s="282">
        <f xml:space="preserve"> FinStat!Q$76</f>
        <v>-2644089.3894370822</v>
      </c>
      <c r="R10" s="282">
        <f xml:space="preserve"> FinStat!R$76</f>
        <v>-3155650.9167587785</v>
      </c>
      <c r="S10" s="282">
        <f xml:space="preserve"> FinStat!S$76</f>
        <v>-3740046.5969932885</v>
      </c>
      <c r="T10" s="282">
        <f xml:space="preserve"> FinStat!T$76</f>
        <v>-4400901.9178404473</v>
      </c>
      <c r="U10" s="282">
        <f xml:space="preserve"> FinStat!U$76</f>
        <v>-5300562.5497743124</v>
      </c>
      <c r="V10" s="282">
        <f xml:space="preserve"> FinStat!V$76</f>
        <v>0</v>
      </c>
      <c r="W10" s="282">
        <f xml:space="preserve"> FinStat!W$76</f>
        <v>0</v>
      </c>
    </row>
    <row r="11" spans="1:77">
      <c r="E11" s="282" t="str">
        <f xml:space="preserve"> FinStat!E$75</f>
        <v>Total changes in working capital</v>
      </c>
      <c r="F11" s="282">
        <f xml:space="preserve"> FinStat!F$75</f>
        <v>0</v>
      </c>
      <c r="G11" s="282" t="str">
        <f xml:space="preserve"> FinStat!G$75</f>
        <v>Kes '000'</v>
      </c>
      <c r="H11" s="282">
        <f xml:space="preserve"> FinStat!H$75</f>
        <v>-2811224.1744440468</v>
      </c>
      <c r="I11" s="282">
        <f xml:space="preserve"> FinStat!I$75</f>
        <v>0</v>
      </c>
      <c r="J11" s="282">
        <f xml:space="preserve"> FinStat!J$75</f>
        <v>27920</v>
      </c>
      <c r="K11" s="282">
        <f xml:space="preserve"> FinStat!K$75</f>
        <v>-109592</v>
      </c>
      <c r="L11" s="282">
        <f xml:space="preserve"> FinStat!L$75</f>
        <v>-317482</v>
      </c>
      <c r="M11" s="282">
        <f xml:space="preserve"> FinStat!M$75</f>
        <v>189553</v>
      </c>
      <c r="N11" s="282">
        <f xml:space="preserve"> FinStat!N$75</f>
        <v>447381</v>
      </c>
      <c r="O11" s="282">
        <f xml:space="preserve"> FinStat!O$75</f>
        <v>-1251793</v>
      </c>
      <c r="P11" s="282">
        <f xml:space="preserve"> FinStat!P$75</f>
        <v>353030.17376712291</v>
      </c>
      <c r="Q11" s="282">
        <f xml:space="preserve"> FinStat!Q$75</f>
        <v>-299191.82193493145</v>
      </c>
      <c r="R11" s="282">
        <f xml:space="preserve"> FinStat!R$75</f>
        <v>-353579.49482517038</v>
      </c>
      <c r="S11" s="282">
        <f xml:space="preserve"> FinStat!S$75</f>
        <v>-418027.09856894705</v>
      </c>
      <c r="T11" s="282">
        <f xml:space="preserve"> FinStat!T$75</f>
        <v>-494423.97877829056</v>
      </c>
      <c r="U11" s="282">
        <f xml:space="preserve"> FinStat!U$75</f>
        <v>-585018.95410383027</v>
      </c>
      <c r="V11" s="282">
        <f xml:space="preserve"> FinStat!V$75</f>
        <v>0</v>
      </c>
      <c r="W11" s="282">
        <f xml:space="preserve"> FinStat!W$75</f>
        <v>0</v>
      </c>
    </row>
    <row r="12" spans="1:77">
      <c r="E12" s="282" t="str">
        <f xml:space="preserve"> FinStat!E$82</f>
        <v>Net cash used in investing activities</v>
      </c>
      <c r="F12" s="282">
        <f xml:space="preserve"> FinStat!F$82</f>
        <v>0</v>
      </c>
      <c r="G12" s="282" t="str">
        <f xml:space="preserve"> FinStat!G$82</f>
        <v>Kes '000'</v>
      </c>
      <c r="H12" s="282">
        <f xml:space="preserve"> FinStat!H$82</f>
        <v>-10311365</v>
      </c>
      <c r="I12" s="282">
        <f xml:space="preserve"> FinStat!I$82</f>
        <v>0</v>
      </c>
      <c r="J12" s="282">
        <f xml:space="preserve"> FinStat!J$82</f>
        <v>-937343</v>
      </c>
      <c r="K12" s="282">
        <f xml:space="preserve"> FinStat!K$82</f>
        <v>-1161772</v>
      </c>
      <c r="L12" s="282">
        <f xml:space="preserve"> FinStat!L$82</f>
        <v>-551759</v>
      </c>
      <c r="M12" s="282">
        <f xml:space="preserve"> FinStat!M$82</f>
        <v>-993273</v>
      </c>
      <c r="N12" s="282">
        <f xml:space="preserve"> FinStat!N$82</f>
        <v>-1200048</v>
      </c>
      <c r="O12" s="282">
        <f xml:space="preserve"> FinStat!O$82</f>
        <v>-967170</v>
      </c>
      <c r="P12" s="282">
        <f xml:space="preserve"> FinStat!P$82</f>
        <v>-1000000</v>
      </c>
      <c r="Q12" s="282">
        <f xml:space="preserve"> FinStat!Q$82</f>
        <v>-500000</v>
      </c>
      <c r="R12" s="282">
        <f xml:space="preserve"> FinStat!R$82</f>
        <v>-500000</v>
      </c>
      <c r="S12" s="282">
        <f xml:space="preserve"> FinStat!S$82</f>
        <v>-2500000</v>
      </c>
      <c r="T12" s="282">
        <f xml:space="preserve"> FinStat!T$82</f>
        <v>0</v>
      </c>
      <c r="U12" s="282">
        <f xml:space="preserve"> FinStat!U$82</f>
        <v>0</v>
      </c>
      <c r="V12" s="282">
        <f xml:space="preserve"> FinStat!V$82</f>
        <v>0</v>
      </c>
      <c r="W12" s="282">
        <f xml:space="preserve"> FinStat!W$82</f>
        <v>0</v>
      </c>
    </row>
    <row r="13" spans="1:77">
      <c r="E13" s="58" t="s">
        <v>391</v>
      </c>
      <c r="G13" s="1" t="str">
        <f>smu</f>
        <v>Kes '000'</v>
      </c>
      <c r="H13" s="58">
        <f xml:space="preserve"> SUM(J13:W13)</f>
        <v>64844474.593461186</v>
      </c>
      <c r="J13" s="58">
        <f>SUM(J9:J12)</f>
        <v>1555161</v>
      </c>
      <c r="K13" s="58">
        <f t="shared" ref="K13:W13" si="0">SUM(K9:K12)</f>
        <v>581664</v>
      </c>
      <c r="L13" s="58">
        <f t="shared" si="0"/>
        <v>1831507</v>
      </c>
      <c r="M13" s="58">
        <f t="shared" si="0"/>
        <v>3977582</v>
      </c>
      <c r="N13" s="58">
        <f t="shared" si="0"/>
        <v>3573750</v>
      </c>
      <c r="O13" s="58">
        <f t="shared" si="0"/>
        <v>2533846</v>
      </c>
      <c r="P13" s="58">
        <f t="shared" si="0"/>
        <v>5441919.7986854557</v>
      </c>
      <c r="Q13" s="58">
        <f t="shared" si="0"/>
        <v>6386092.6756404825</v>
      </c>
      <c r="R13" s="58">
        <f t="shared" si="0"/>
        <v>7578234.1220564237</v>
      </c>
      <c r="S13" s="58">
        <f t="shared" si="0"/>
        <v>7007931.9944153912</v>
      </c>
      <c r="T13" s="58">
        <f t="shared" si="0"/>
        <v>11229086.418404978</v>
      </c>
      <c r="U13" s="58">
        <f t="shared" si="0"/>
        <v>13147699.584258456</v>
      </c>
      <c r="V13" s="58">
        <f t="shared" si="0"/>
        <v>0</v>
      </c>
      <c r="W13" s="58">
        <f t="shared" si="0"/>
        <v>0</v>
      </c>
    </row>
    <row r="15" spans="1:77">
      <c r="C15" s="16" t="s">
        <v>402</v>
      </c>
    </row>
    <row r="17" spans="3:23">
      <c r="E17" s="27" t="str">
        <f xml:space="preserve"> E$51</f>
        <v>Years from valuation date</v>
      </c>
      <c r="F17" s="27">
        <f t="shared" ref="F17:W17" si="1" xml:space="preserve"> F$51</f>
        <v>0</v>
      </c>
      <c r="G17" s="27" t="str">
        <f t="shared" si="1"/>
        <v>Yrs</v>
      </c>
      <c r="H17" s="27">
        <f t="shared" si="1"/>
        <v>0</v>
      </c>
      <c r="I17" s="27">
        <f t="shared" si="1"/>
        <v>0</v>
      </c>
      <c r="J17" s="393">
        <f t="shared" si="1"/>
        <v>0</v>
      </c>
      <c r="K17" s="393">
        <f t="shared" si="1"/>
        <v>0</v>
      </c>
      <c r="L17" s="393">
        <f t="shared" si="1"/>
        <v>0</v>
      </c>
      <c r="M17" s="393">
        <f t="shared" si="1"/>
        <v>0</v>
      </c>
      <c r="N17" s="393">
        <f t="shared" si="1"/>
        <v>0</v>
      </c>
      <c r="O17" s="393">
        <f t="shared" si="1"/>
        <v>0</v>
      </c>
      <c r="P17" s="393">
        <f t="shared" si="1"/>
        <v>0.22465753424657534</v>
      </c>
      <c r="Q17" s="393">
        <f t="shared" si="1"/>
        <v>1.2273972602739727</v>
      </c>
      <c r="R17" s="393">
        <f t="shared" si="1"/>
        <v>2.2273972602739724</v>
      </c>
      <c r="S17" s="393">
        <f t="shared" si="1"/>
        <v>3.2273972602739724</v>
      </c>
      <c r="T17" s="393">
        <f t="shared" si="1"/>
        <v>4.2273972602739729</v>
      </c>
      <c r="U17" s="393">
        <f t="shared" si="1"/>
        <v>5.2301369863013702</v>
      </c>
      <c r="V17" s="393">
        <f t="shared" si="1"/>
        <v>0</v>
      </c>
      <c r="W17" s="393">
        <f t="shared" si="1"/>
        <v>0</v>
      </c>
    </row>
    <row r="18" spans="3:23">
      <c r="E18" s="282" t="str">
        <f xml:space="preserve"> Time!E$48</f>
        <v>First forecast period flag</v>
      </c>
      <c r="F18" s="282">
        <f xml:space="preserve"> Time!F$48</f>
        <v>0</v>
      </c>
      <c r="G18" s="282" t="str">
        <f xml:space="preserve"> Time!G$48</f>
        <v>flag</v>
      </c>
      <c r="H18" s="282">
        <f xml:space="preserve"> Time!H$48</f>
        <v>1</v>
      </c>
      <c r="I18" s="282">
        <f xml:space="preserve"> Time!I$48</f>
        <v>0</v>
      </c>
      <c r="J18" s="282">
        <f xml:space="preserve"> Time!J$48</f>
        <v>0</v>
      </c>
      <c r="K18" s="282">
        <f xml:space="preserve"> Time!K$48</f>
        <v>0</v>
      </c>
      <c r="L18" s="282">
        <f xml:space="preserve"> Time!L$48</f>
        <v>0</v>
      </c>
      <c r="M18" s="282">
        <f xml:space="preserve"> Time!M$48</f>
        <v>0</v>
      </c>
      <c r="N18" s="282">
        <f xml:space="preserve"> Time!N$48</f>
        <v>0</v>
      </c>
      <c r="O18" s="282">
        <f xml:space="preserve"> Time!O$48</f>
        <v>0</v>
      </c>
      <c r="P18" s="282">
        <f xml:space="preserve"> Time!P$48</f>
        <v>1</v>
      </c>
      <c r="Q18" s="282">
        <f xml:space="preserve"> Time!Q$48</f>
        <v>0</v>
      </c>
      <c r="R18" s="282">
        <f xml:space="preserve"> Time!R$48</f>
        <v>0</v>
      </c>
      <c r="S18" s="282">
        <f xml:space="preserve"> Time!S$48</f>
        <v>0</v>
      </c>
      <c r="T18" s="282">
        <f xml:space="preserve"> Time!T$48</f>
        <v>0</v>
      </c>
      <c r="U18" s="282">
        <f xml:space="preserve"> Time!U$48</f>
        <v>0</v>
      </c>
      <c r="V18" s="282">
        <f xml:space="preserve"> Time!V$48</f>
        <v>0</v>
      </c>
      <c r="W18" s="282">
        <f xml:space="preserve"> Time!W$48</f>
        <v>0</v>
      </c>
    </row>
    <row r="19" spans="3:23">
      <c r="E19" s="27" t="str">
        <f xml:space="preserve"> E$13</f>
        <v>Free Cashflows To The Firm</v>
      </c>
      <c r="F19" s="27">
        <f t="shared" ref="F19:W19" si="2" xml:space="preserve"> F$13</f>
        <v>0</v>
      </c>
      <c r="G19" s="27" t="str">
        <f t="shared" si="2"/>
        <v>Kes '000'</v>
      </c>
      <c r="H19" s="27">
        <f t="shared" si="2"/>
        <v>64844474.593461186</v>
      </c>
      <c r="I19" s="27">
        <f t="shared" si="2"/>
        <v>0</v>
      </c>
      <c r="J19" s="27">
        <f t="shared" si="2"/>
        <v>1555161</v>
      </c>
      <c r="K19" s="27">
        <f t="shared" si="2"/>
        <v>581664</v>
      </c>
      <c r="L19" s="27">
        <f t="shared" si="2"/>
        <v>1831507</v>
      </c>
      <c r="M19" s="27">
        <f t="shared" si="2"/>
        <v>3977582</v>
      </c>
      <c r="N19" s="27">
        <f t="shared" si="2"/>
        <v>3573750</v>
      </c>
      <c r="O19" s="27">
        <f t="shared" si="2"/>
        <v>2533846</v>
      </c>
      <c r="P19" s="27">
        <f t="shared" si="2"/>
        <v>5441919.7986854557</v>
      </c>
      <c r="Q19" s="27">
        <f t="shared" si="2"/>
        <v>6386092.6756404825</v>
      </c>
      <c r="R19" s="27">
        <f t="shared" si="2"/>
        <v>7578234.1220564237</v>
      </c>
      <c r="S19" s="27">
        <f t="shared" si="2"/>
        <v>7007931.9944153912</v>
      </c>
      <c r="T19" s="27">
        <f t="shared" si="2"/>
        <v>11229086.418404978</v>
      </c>
      <c r="U19" s="27">
        <f t="shared" si="2"/>
        <v>13147699.584258456</v>
      </c>
      <c r="V19" s="27">
        <f t="shared" si="2"/>
        <v>0</v>
      </c>
      <c r="W19" s="27">
        <f t="shared" si="2"/>
        <v>0</v>
      </c>
    </row>
    <row r="20" spans="3:23">
      <c r="E20" s="27" t="str">
        <f xml:space="preserve"> E$44</f>
        <v>Forecast period flag</v>
      </c>
      <c r="F20" s="27">
        <f t="shared" ref="F20:W20" si="3" xml:space="preserve"> F$44</f>
        <v>0</v>
      </c>
      <c r="G20" s="27" t="str">
        <f t="shared" si="3"/>
        <v>flag</v>
      </c>
      <c r="H20" s="27">
        <f t="shared" si="3"/>
        <v>6</v>
      </c>
      <c r="I20" s="27">
        <f t="shared" si="3"/>
        <v>0</v>
      </c>
      <c r="J20" s="27">
        <f t="shared" si="3"/>
        <v>0</v>
      </c>
      <c r="K20" s="27">
        <f t="shared" si="3"/>
        <v>0</v>
      </c>
      <c r="L20" s="27">
        <f t="shared" si="3"/>
        <v>0</v>
      </c>
      <c r="M20" s="27">
        <f t="shared" si="3"/>
        <v>0</v>
      </c>
      <c r="N20" s="27">
        <f t="shared" si="3"/>
        <v>0</v>
      </c>
      <c r="O20" s="27">
        <f t="shared" si="3"/>
        <v>0</v>
      </c>
      <c r="P20" s="27">
        <f t="shared" si="3"/>
        <v>1</v>
      </c>
      <c r="Q20" s="27">
        <f t="shared" si="3"/>
        <v>1</v>
      </c>
      <c r="R20" s="27">
        <f t="shared" si="3"/>
        <v>1</v>
      </c>
      <c r="S20" s="27">
        <f t="shared" si="3"/>
        <v>1</v>
      </c>
      <c r="T20" s="27">
        <f t="shared" si="3"/>
        <v>1</v>
      </c>
      <c r="U20" s="27">
        <f t="shared" si="3"/>
        <v>1</v>
      </c>
      <c r="V20" s="27">
        <f t="shared" si="3"/>
        <v>0</v>
      </c>
      <c r="W20" s="27">
        <f t="shared" si="3"/>
        <v>0</v>
      </c>
    </row>
    <row r="21" spans="3:23">
      <c r="E21" s="58" t="s">
        <v>403</v>
      </c>
      <c r="H21" s="58">
        <f xml:space="preserve"> SUM(J21:U21)</f>
        <v>46571613.078316025</v>
      </c>
      <c r="L21" s="58">
        <f>IF(L18=1,L19*L17,L19*L20)</f>
        <v>0</v>
      </c>
      <c r="M21" s="58">
        <f t="shared" ref="M21:W21" si="4">IF(M18=1,M19*M17,M19*M20)</f>
        <v>0</v>
      </c>
      <c r="N21" s="58">
        <f t="shared" si="4"/>
        <v>0</v>
      </c>
      <c r="O21" s="58">
        <f t="shared" si="4"/>
        <v>0</v>
      </c>
      <c r="P21" s="58">
        <f t="shared" si="4"/>
        <v>1222568.283540294</v>
      </c>
      <c r="Q21" s="58">
        <f t="shared" si="4"/>
        <v>6386092.6756404825</v>
      </c>
      <c r="R21" s="58">
        <f t="shared" si="4"/>
        <v>7578234.1220564237</v>
      </c>
      <c r="S21" s="58">
        <f t="shared" si="4"/>
        <v>7007931.9944153912</v>
      </c>
      <c r="T21" s="58">
        <f t="shared" si="4"/>
        <v>11229086.418404978</v>
      </c>
      <c r="U21" s="58">
        <f t="shared" si="4"/>
        <v>13147699.584258456</v>
      </c>
      <c r="V21" s="58">
        <f t="shared" si="4"/>
        <v>0</v>
      </c>
      <c r="W21" s="58">
        <f t="shared" si="4"/>
        <v>0</v>
      </c>
    </row>
    <row r="23" spans="3:23">
      <c r="C23" s="16" t="s">
        <v>404</v>
      </c>
    </row>
    <row r="25" spans="3:23">
      <c r="E25" s="357" t="str">
        <f xml:space="preserve"> InpC!E$60</f>
        <v>Terminal growth rate</v>
      </c>
      <c r="F25" s="357">
        <f xml:space="preserve"> InpC!F$60</f>
        <v>0.05</v>
      </c>
      <c r="G25" s="357" t="str">
        <f xml:space="preserve"> InpC!G$60</f>
        <v>%</v>
      </c>
    </row>
    <row r="26" spans="3:23">
      <c r="E26" s="357" t="str">
        <f xml:space="preserve"> InpC!E$59</f>
        <v>Cost of Capital</v>
      </c>
      <c r="F26" s="357">
        <f xml:space="preserve"> InpC!F$59</f>
        <v>0.2</v>
      </c>
      <c r="G26" s="357" t="str">
        <f xml:space="preserve"> InpC!G$59</f>
        <v>%</v>
      </c>
      <c r="H26" s="357">
        <f xml:space="preserve"> InpC!H$59</f>
        <v>0</v>
      </c>
      <c r="I26" s="357">
        <f xml:space="preserve"> InpC!I$59</f>
        <v>0</v>
      </c>
      <c r="J26" s="357"/>
      <c r="K26" s="357"/>
      <c r="L26" s="357"/>
      <c r="M26" s="357"/>
      <c r="N26" s="357"/>
      <c r="O26" s="357"/>
      <c r="P26" s="357"/>
      <c r="Q26" s="357"/>
      <c r="R26" s="357"/>
      <c r="S26" s="357"/>
      <c r="T26" s="357"/>
      <c r="U26" s="357"/>
      <c r="V26" s="357"/>
      <c r="W26" s="357"/>
    </row>
    <row r="27" spans="3:23">
      <c r="E27" s="27" t="str">
        <f xml:space="preserve"> E$21</f>
        <v>Forecast period cash flows</v>
      </c>
      <c r="F27" s="27">
        <f t="shared" ref="F27:W27" si="5" xml:space="preserve"> F$21</f>
        <v>0</v>
      </c>
      <c r="G27" s="27" t="str">
        <f>smu</f>
        <v>Kes '000'</v>
      </c>
      <c r="H27" s="27">
        <f t="shared" si="5"/>
        <v>46571613.078316025</v>
      </c>
      <c r="I27" s="27">
        <f t="shared" si="5"/>
        <v>0</v>
      </c>
      <c r="J27" s="27">
        <f t="shared" si="5"/>
        <v>0</v>
      </c>
      <c r="K27" s="27">
        <f t="shared" si="5"/>
        <v>0</v>
      </c>
      <c r="L27" s="27">
        <f t="shared" si="5"/>
        <v>0</v>
      </c>
      <c r="M27" s="27">
        <f t="shared" si="5"/>
        <v>0</v>
      </c>
      <c r="N27" s="27">
        <f t="shared" si="5"/>
        <v>0</v>
      </c>
      <c r="O27" s="27">
        <f t="shared" si="5"/>
        <v>0</v>
      </c>
      <c r="P27" s="27">
        <f t="shared" si="5"/>
        <v>1222568.283540294</v>
      </c>
      <c r="Q27" s="27">
        <f t="shared" si="5"/>
        <v>6386092.6756404825</v>
      </c>
      <c r="R27" s="27">
        <f t="shared" si="5"/>
        <v>7578234.1220564237</v>
      </c>
      <c r="S27" s="27">
        <f t="shared" si="5"/>
        <v>7007931.9944153912</v>
      </c>
      <c r="T27" s="27">
        <f t="shared" si="5"/>
        <v>11229086.418404978</v>
      </c>
      <c r="U27" s="27">
        <f t="shared" si="5"/>
        <v>13147699.584258456</v>
      </c>
      <c r="V27" s="27">
        <f t="shared" si="5"/>
        <v>0</v>
      </c>
      <c r="W27" s="27">
        <f t="shared" si="5"/>
        <v>0</v>
      </c>
    </row>
    <row r="28" spans="3:23">
      <c r="E28" s="394" t="str">
        <f xml:space="preserve"> Time!E$58</f>
        <v>Last forecast period flag</v>
      </c>
      <c r="F28" s="394">
        <f xml:space="preserve"> Time!F$58</f>
        <v>0</v>
      </c>
      <c r="G28" s="394" t="str">
        <f xml:space="preserve"> Time!G$58</f>
        <v>flag</v>
      </c>
      <c r="H28" s="394">
        <f xml:space="preserve"> Time!H$58</f>
        <v>1</v>
      </c>
      <c r="I28" s="394">
        <f xml:space="preserve"> Time!I$58</f>
        <v>0</v>
      </c>
      <c r="J28" s="394">
        <f xml:space="preserve"> Time!J$58</f>
        <v>0</v>
      </c>
      <c r="K28" s="394">
        <f xml:space="preserve"> Time!K$58</f>
        <v>0</v>
      </c>
      <c r="L28" s="394">
        <f xml:space="preserve"> Time!L$58</f>
        <v>0</v>
      </c>
      <c r="M28" s="394">
        <f xml:space="preserve"> Time!M$58</f>
        <v>0</v>
      </c>
      <c r="N28" s="394">
        <f xml:space="preserve"> Time!N$58</f>
        <v>0</v>
      </c>
      <c r="O28" s="394">
        <f xml:space="preserve"> Time!O$58</f>
        <v>0</v>
      </c>
      <c r="P28" s="394">
        <f xml:space="preserve"> Time!P$58</f>
        <v>0</v>
      </c>
      <c r="Q28" s="394">
        <f xml:space="preserve"> Time!Q$58</f>
        <v>0</v>
      </c>
      <c r="R28" s="394">
        <f xml:space="preserve"> Time!R$58</f>
        <v>0</v>
      </c>
      <c r="S28" s="394">
        <f xml:space="preserve"> Time!S$58</f>
        <v>0</v>
      </c>
      <c r="T28" s="394">
        <f xml:space="preserve"> Time!T$58</f>
        <v>0</v>
      </c>
      <c r="U28" s="394">
        <f xml:space="preserve"> Time!U$58</f>
        <v>1</v>
      </c>
      <c r="V28" s="394">
        <f xml:space="preserve"> Time!V$58</f>
        <v>0</v>
      </c>
      <c r="W28" s="394">
        <f xml:space="preserve"> Time!W$58</f>
        <v>0</v>
      </c>
    </row>
    <row r="29" spans="3:23">
      <c r="E29" s="58" t="s">
        <v>404</v>
      </c>
      <c r="G29" s="58" t="str">
        <f>smu</f>
        <v>Kes '000'</v>
      </c>
      <c r="H29" s="58">
        <f xml:space="preserve"> SUM(J29:W29)</f>
        <v>92033897.089809179</v>
      </c>
      <c r="J29" s="58">
        <f>IF(J28=1,J27*(1+$F$25)/($F$26-$F$25),0)</f>
        <v>0</v>
      </c>
      <c r="K29" s="58">
        <f t="shared" ref="K29:W29" si="6">IF(K28=1,K27*(1+$F$25)/($F$26-$F$25),0)</f>
        <v>0</v>
      </c>
      <c r="L29" s="58">
        <f t="shared" si="6"/>
        <v>0</v>
      </c>
      <c r="M29" s="58">
        <f t="shared" si="6"/>
        <v>0</v>
      </c>
      <c r="N29" s="58">
        <f t="shared" si="6"/>
        <v>0</v>
      </c>
      <c r="O29" s="58">
        <f t="shared" si="6"/>
        <v>0</v>
      </c>
      <c r="P29" s="58">
        <f t="shared" si="6"/>
        <v>0</v>
      </c>
      <c r="Q29" s="58">
        <f t="shared" si="6"/>
        <v>0</v>
      </c>
      <c r="R29" s="58">
        <f t="shared" si="6"/>
        <v>0</v>
      </c>
      <c r="S29" s="58">
        <f t="shared" si="6"/>
        <v>0</v>
      </c>
      <c r="T29" s="58">
        <f t="shared" si="6"/>
        <v>0</v>
      </c>
      <c r="U29" s="58">
        <f t="shared" si="6"/>
        <v>92033897.089809179</v>
      </c>
      <c r="V29" s="58">
        <f t="shared" si="6"/>
        <v>0</v>
      </c>
      <c r="W29" s="58">
        <f t="shared" si="6"/>
        <v>0</v>
      </c>
    </row>
    <row r="31" spans="3:23">
      <c r="C31" s="16" t="s">
        <v>406</v>
      </c>
    </row>
    <row r="33" spans="2:23">
      <c r="E33" s="27" t="str">
        <f xml:space="preserve"> E$21</f>
        <v>Forecast period cash flows</v>
      </c>
      <c r="F33" s="27">
        <f t="shared" ref="F33:W33" si="7" xml:space="preserve"> F$21</f>
        <v>0</v>
      </c>
      <c r="G33" s="27" t="str">
        <f>smu</f>
        <v>Kes '000'</v>
      </c>
      <c r="H33" s="27">
        <f xml:space="preserve"> H$21</f>
        <v>46571613.078316025</v>
      </c>
      <c r="I33" s="27">
        <f t="shared" si="7"/>
        <v>0</v>
      </c>
      <c r="J33" s="27">
        <f t="shared" si="7"/>
        <v>0</v>
      </c>
      <c r="K33" s="27">
        <f t="shared" si="7"/>
        <v>0</v>
      </c>
      <c r="L33" s="27">
        <f t="shared" si="7"/>
        <v>0</v>
      </c>
      <c r="M33" s="27">
        <f t="shared" si="7"/>
        <v>0</v>
      </c>
      <c r="N33" s="27">
        <f t="shared" si="7"/>
        <v>0</v>
      </c>
      <c r="O33" s="27">
        <f t="shared" si="7"/>
        <v>0</v>
      </c>
      <c r="P33" s="27">
        <f t="shared" si="7"/>
        <v>1222568.283540294</v>
      </c>
      <c r="Q33" s="27">
        <f t="shared" si="7"/>
        <v>6386092.6756404825</v>
      </c>
      <c r="R33" s="27">
        <f t="shared" si="7"/>
        <v>7578234.1220564237</v>
      </c>
      <c r="S33" s="27">
        <f t="shared" si="7"/>
        <v>7007931.9944153912</v>
      </c>
      <c r="T33" s="27">
        <f t="shared" si="7"/>
        <v>11229086.418404978</v>
      </c>
      <c r="U33" s="27">
        <f t="shared" si="7"/>
        <v>13147699.584258456</v>
      </c>
      <c r="V33" s="27">
        <f t="shared" si="7"/>
        <v>0</v>
      </c>
      <c r="W33" s="27">
        <f t="shared" si="7"/>
        <v>0</v>
      </c>
    </row>
    <row r="34" spans="2:23">
      <c r="E34" s="27" t="str">
        <f xml:space="preserve"> E$29</f>
        <v>Terminal Cashflows</v>
      </c>
      <c r="F34" s="27">
        <f t="shared" ref="F34:W34" si="8" xml:space="preserve"> F$29</f>
        <v>0</v>
      </c>
      <c r="G34" s="395" t="str">
        <f t="shared" si="8"/>
        <v>Kes '000'</v>
      </c>
      <c r="H34" s="395">
        <f xml:space="preserve"> SUM(J34:W34)</f>
        <v>92033897.089809179</v>
      </c>
      <c r="I34" s="395">
        <f t="shared" si="8"/>
        <v>0</v>
      </c>
      <c r="J34" s="395">
        <f t="shared" si="8"/>
        <v>0</v>
      </c>
      <c r="K34" s="395">
        <f t="shared" si="8"/>
        <v>0</v>
      </c>
      <c r="L34" s="395">
        <f t="shared" si="8"/>
        <v>0</v>
      </c>
      <c r="M34" s="395">
        <f xml:space="preserve"> M$29</f>
        <v>0</v>
      </c>
      <c r="N34" s="395">
        <f t="shared" si="8"/>
        <v>0</v>
      </c>
      <c r="O34" s="395">
        <f t="shared" si="8"/>
        <v>0</v>
      </c>
      <c r="P34" s="395">
        <f t="shared" si="8"/>
        <v>0</v>
      </c>
      <c r="Q34" s="395">
        <f t="shared" si="8"/>
        <v>0</v>
      </c>
      <c r="R34" s="395">
        <f t="shared" si="8"/>
        <v>0</v>
      </c>
      <c r="S34" s="395">
        <f t="shared" si="8"/>
        <v>0</v>
      </c>
      <c r="T34" s="395">
        <f t="shared" si="8"/>
        <v>0</v>
      </c>
      <c r="U34" s="395">
        <f xml:space="preserve"> U$29</f>
        <v>92033897.089809179</v>
      </c>
      <c r="V34" s="395">
        <f t="shared" si="8"/>
        <v>0</v>
      </c>
      <c r="W34" s="395">
        <f t="shared" si="8"/>
        <v>0</v>
      </c>
    </row>
    <row r="35" spans="2:23">
      <c r="E35" s="58" t="s">
        <v>407</v>
      </c>
      <c r="G35" s="58" t="str">
        <f>smu</f>
        <v>Kes '000'</v>
      </c>
      <c r="H35" s="58">
        <f xml:space="preserve"> SUM(J35:W35)</f>
        <v>138605510.16812521</v>
      </c>
      <c r="J35" s="58">
        <f>SUM(J33:J34)</f>
        <v>0</v>
      </c>
      <c r="K35" s="58">
        <f t="shared" ref="K35:W35" si="9">SUM(K33:K34)</f>
        <v>0</v>
      </c>
      <c r="L35" s="58">
        <f t="shared" si="9"/>
        <v>0</v>
      </c>
      <c r="M35" s="58">
        <f t="shared" si="9"/>
        <v>0</v>
      </c>
      <c r="N35" s="58">
        <f t="shared" si="9"/>
        <v>0</v>
      </c>
      <c r="O35" s="58">
        <f t="shared" si="9"/>
        <v>0</v>
      </c>
      <c r="P35" s="58">
        <f t="shared" si="9"/>
        <v>1222568.283540294</v>
      </c>
      <c r="Q35" s="58">
        <f t="shared" si="9"/>
        <v>6386092.6756404825</v>
      </c>
      <c r="R35" s="58">
        <f t="shared" si="9"/>
        <v>7578234.1220564237</v>
      </c>
      <c r="S35" s="58">
        <f t="shared" si="9"/>
        <v>7007931.9944153912</v>
      </c>
      <c r="T35" s="58">
        <f t="shared" si="9"/>
        <v>11229086.418404978</v>
      </c>
      <c r="U35" s="58">
        <f t="shared" si="9"/>
        <v>105181596.67406763</v>
      </c>
      <c r="V35" s="58">
        <f t="shared" si="9"/>
        <v>0</v>
      </c>
      <c r="W35" s="58">
        <f t="shared" si="9"/>
        <v>0</v>
      </c>
    </row>
    <row r="38" spans="2:23">
      <c r="B38" s="4" t="s">
        <v>392</v>
      </c>
    </row>
    <row r="40" spans="2:23">
      <c r="C40" s="16" t="s">
        <v>393</v>
      </c>
    </row>
    <row r="42" spans="2:23">
      <c r="E42" s="391" t="str">
        <f xml:space="preserve"> InpC!E$58</f>
        <v>Valuation date</v>
      </c>
      <c r="F42" s="73">
        <f xml:space="preserve"> InpC!F$58</f>
        <v>42287</v>
      </c>
      <c r="G42" s="391" t="str">
        <f xml:space="preserve"> InpC!G$58</f>
        <v>Date</v>
      </c>
    </row>
    <row r="43" spans="2:23">
      <c r="E43" s="73" t="str">
        <f xml:space="preserve"> Time!E$19</f>
        <v xml:space="preserve">Model period ending </v>
      </c>
      <c r="F43" s="73">
        <f xml:space="preserve"> Time!F$19</f>
        <v>0</v>
      </c>
      <c r="G43" s="73" t="str">
        <f xml:space="preserve"> Time!G$19</f>
        <v>date</v>
      </c>
      <c r="H43" s="73">
        <f xml:space="preserve"> Time!H$19</f>
        <v>0</v>
      </c>
      <c r="I43" s="73">
        <f xml:space="preserve"> Time!I$19</f>
        <v>0</v>
      </c>
      <c r="J43" s="73">
        <f xml:space="preserve"> Time!J$19</f>
        <v>40178</v>
      </c>
      <c r="K43" s="73">
        <f xml:space="preserve"> Time!K$19</f>
        <v>40543</v>
      </c>
      <c r="L43" s="73">
        <f xml:space="preserve"> Time!L$19</f>
        <v>40908</v>
      </c>
      <c r="M43" s="73">
        <f xml:space="preserve"> Time!M$19</f>
        <v>41274</v>
      </c>
      <c r="N43" s="73">
        <f xml:space="preserve"> Time!N$19</f>
        <v>41639</v>
      </c>
      <c r="O43" s="73">
        <f xml:space="preserve"> Time!O$19</f>
        <v>42004</v>
      </c>
      <c r="P43" s="73">
        <f xml:space="preserve"> Time!P$19</f>
        <v>42369</v>
      </c>
      <c r="Q43" s="73">
        <f xml:space="preserve"> Time!Q$19</f>
        <v>42735</v>
      </c>
      <c r="R43" s="73">
        <f xml:space="preserve"> Time!R$19</f>
        <v>43100</v>
      </c>
      <c r="S43" s="73">
        <f xml:space="preserve"> Time!S$19</f>
        <v>43465</v>
      </c>
      <c r="T43" s="73">
        <f xml:space="preserve"> Time!T$19</f>
        <v>43830</v>
      </c>
      <c r="U43" s="73">
        <f xml:space="preserve"> Time!U$19</f>
        <v>44196</v>
      </c>
      <c r="V43" s="73">
        <f xml:space="preserve"> Time!V$19</f>
        <v>44561</v>
      </c>
      <c r="W43" s="73">
        <f xml:space="preserve"> Time!W$19</f>
        <v>44926</v>
      </c>
    </row>
    <row r="44" spans="2:23">
      <c r="E44" s="282" t="str">
        <f xml:space="preserve"> Time!E$43</f>
        <v>Forecast period flag</v>
      </c>
      <c r="F44" s="282">
        <f xml:space="preserve"> Time!F$43</f>
        <v>0</v>
      </c>
      <c r="G44" s="282" t="str">
        <f xml:space="preserve"> Time!G$43</f>
        <v>flag</v>
      </c>
      <c r="H44" s="282">
        <f xml:space="preserve"> Time!H$43</f>
        <v>6</v>
      </c>
      <c r="I44" s="282">
        <f xml:space="preserve"> Time!I$43</f>
        <v>0</v>
      </c>
      <c r="J44" s="282">
        <f xml:space="preserve"> Time!J$43</f>
        <v>0</v>
      </c>
      <c r="K44" s="282">
        <f xml:space="preserve"> Time!K$43</f>
        <v>0</v>
      </c>
      <c r="L44" s="282">
        <f xml:space="preserve"> Time!L$43</f>
        <v>0</v>
      </c>
      <c r="M44" s="282">
        <f xml:space="preserve"> Time!M$43</f>
        <v>0</v>
      </c>
      <c r="N44" s="282">
        <f xml:space="preserve"> Time!N$43</f>
        <v>0</v>
      </c>
      <c r="O44" s="282">
        <f xml:space="preserve"> Time!O$43</f>
        <v>0</v>
      </c>
      <c r="P44" s="282">
        <f xml:space="preserve"> Time!P$43</f>
        <v>1</v>
      </c>
      <c r="Q44" s="282">
        <f xml:space="preserve"> Time!Q$43</f>
        <v>1</v>
      </c>
      <c r="R44" s="282">
        <f xml:space="preserve"> Time!R$43</f>
        <v>1</v>
      </c>
      <c r="S44" s="282">
        <f xml:space="preserve"> Time!S$43</f>
        <v>1</v>
      </c>
      <c r="T44" s="282">
        <f xml:space="preserve"> Time!T$43</f>
        <v>1</v>
      </c>
      <c r="U44" s="282">
        <f xml:space="preserve"> Time!U$43</f>
        <v>1</v>
      </c>
      <c r="V44" s="282">
        <f xml:space="preserve"> Time!V$43</f>
        <v>0</v>
      </c>
      <c r="W44" s="282">
        <f xml:space="preserve"> Time!W$43</f>
        <v>0</v>
      </c>
    </row>
    <row r="45" spans="2:23">
      <c r="E45" s="58" t="s">
        <v>398</v>
      </c>
      <c r="F45" s="3"/>
      <c r="G45" s="58" t="s">
        <v>63</v>
      </c>
      <c r="J45" s="58">
        <f>(J43-$F$42)*J44</f>
        <v>0</v>
      </c>
      <c r="K45" s="58">
        <f t="shared" ref="K45:W45" si="10">(K43-$F$42)*K44</f>
        <v>0</v>
      </c>
      <c r="L45" s="58">
        <f t="shared" si="10"/>
        <v>0</v>
      </c>
      <c r="M45" s="58">
        <f t="shared" si="10"/>
        <v>0</v>
      </c>
      <c r="N45" s="58">
        <f t="shared" si="10"/>
        <v>0</v>
      </c>
      <c r="O45" s="58">
        <f t="shared" si="10"/>
        <v>0</v>
      </c>
      <c r="P45" s="58">
        <f t="shared" si="10"/>
        <v>82</v>
      </c>
      <c r="Q45" s="58">
        <f t="shared" si="10"/>
        <v>448</v>
      </c>
      <c r="R45" s="58">
        <f t="shared" si="10"/>
        <v>813</v>
      </c>
      <c r="S45" s="58">
        <f t="shared" si="10"/>
        <v>1178</v>
      </c>
      <c r="T45" s="58">
        <f t="shared" si="10"/>
        <v>1543</v>
      </c>
      <c r="U45" s="58">
        <f t="shared" si="10"/>
        <v>1909</v>
      </c>
      <c r="V45" s="58">
        <f t="shared" si="10"/>
        <v>0</v>
      </c>
      <c r="W45" s="58">
        <f t="shared" si="10"/>
        <v>0</v>
      </c>
    </row>
    <row r="46" spans="2:23">
      <c r="G46" s="58" t="s">
        <v>63</v>
      </c>
      <c r="J46" s="392">
        <f t="shared" ref="J46:W46" si="11">J45/$F$49</f>
        <v>0</v>
      </c>
      <c r="K46" s="392">
        <f t="shared" si="11"/>
        <v>0</v>
      </c>
      <c r="L46" s="392">
        <f t="shared" si="11"/>
        <v>0</v>
      </c>
      <c r="M46" s="392">
        <f t="shared" si="11"/>
        <v>0</v>
      </c>
      <c r="N46" s="392">
        <f t="shared" si="11"/>
        <v>0</v>
      </c>
      <c r="O46" s="392">
        <f t="shared" si="11"/>
        <v>0</v>
      </c>
      <c r="P46" s="392">
        <f t="shared" si="11"/>
        <v>0.22465753424657534</v>
      </c>
      <c r="Q46" s="392">
        <f t="shared" si="11"/>
        <v>1.2273972602739727</v>
      </c>
      <c r="R46" s="392">
        <f t="shared" si="11"/>
        <v>2.2273972602739724</v>
      </c>
      <c r="S46" s="392">
        <f t="shared" si="11"/>
        <v>3.2273972602739724</v>
      </c>
      <c r="T46" s="392">
        <f t="shared" si="11"/>
        <v>4.2273972602739729</v>
      </c>
      <c r="U46" s="392">
        <f t="shared" si="11"/>
        <v>5.2301369863013702</v>
      </c>
      <c r="V46" s="392">
        <f t="shared" si="11"/>
        <v>0</v>
      </c>
      <c r="W46" s="392">
        <f t="shared" si="11"/>
        <v>0</v>
      </c>
    </row>
    <row r="47" spans="2:23">
      <c r="C47" s="16" t="s">
        <v>397</v>
      </c>
    </row>
    <row r="48" spans="2:23">
      <c r="H48" s="282"/>
      <c r="I48" s="282"/>
      <c r="J48" s="282"/>
      <c r="K48" s="282"/>
      <c r="L48" s="282"/>
      <c r="M48" s="282"/>
      <c r="N48" s="282"/>
      <c r="O48" s="282"/>
      <c r="P48" s="282"/>
      <c r="Q48" s="282"/>
      <c r="R48" s="282"/>
      <c r="S48" s="282"/>
      <c r="T48" s="282"/>
      <c r="U48" s="282"/>
      <c r="V48" s="282"/>
      <c r="W48" s="282"/>
    </row>
    <row r="49" spans="3:23">
      <c r="E49" s="282" t="str">
        <f xml:space="preserve"> InpC!E$24</f>
        <v>Days in year</v>
      </c>
      <c r="F49" s="282">
        <f xml:space="preserve"> InpC!F$24</f>
        <v>365</v>
      </c>
      <c r="G49" s="282" t="str">
        <f xml:space="preserve"> InpC!G$24</f>
        <v>days</v>
      </c>
    </row>
    <row r="50" spans="3:23">
      <c r="E50" s="27" t="str">
        <f xml:space="preserve"> E$45</f>
        <v>Days from valuation date</v>
      </c>
      <c r="F50" s="27">
        <f t="shared" ref="F50:W50" si="12" xml:space="preserve"> F$45</f>
        <v>0</v>
      </c>
      <c r="G50" s="27" t="str">
        <f t="shared" si="12"/>
        <v>days</v>
      </c>
      <c r="H50" s="27">
        <f t="shared" si="12"/>
        <v>0</v>
      </c>
      <c r="I50" s="27">
        <f t="shared" si="12"/>
        <v>0</v>
      </c>
      <c r="J50" s="27">
        <f t="shared" si="12"/>
        <v>0</v>
      </c>
      <c r="K50" s="27">
        <f t="shared" si="12"/>
        <v>0</v>
      </c>
      <c r="L50" s="27">
        <f t="shared" si="12"/>
        <v>0</v>
      </c>
      <c r="M50" s="27">
        <f t="shared" si="12"/>
        <v>0</v>
      </c>
      <c r="N50" s="27">
        <f t="shared" si="12"/>
        <v>0</v>
      </c>
      <c r="O50" s="27">
        <f t="shared" si="12"/>
        <v>0</v>
      </c>
      <c r="P50" s="27">
        <f t="shared" si="12"/>
        <v>82</v>
      </c>
      <c r="Q50" s="27">
        <f t="shared" si="12"/>
        <v>448</v>
      </c>
      <c r="R50" s="27">
        <f t="shared" si="12"/>
        <v>813</v>
      </c>
      <c r="S50" s="27">
        <f t="shared" si="12"/>
        <v>1178</v>
      </c>
      <c r="T50" s="27">
        <f t="shared" si="12"/>
        <v>1543</v>
      </c>
      <c r="U50" s="27">
        <f t="shared" si="12"/>
        <v>1909</v>
      </c>
      <c r="V50" s="27">
        <f t="shared" si="12"/>
        <v>0</v>
      </c>
      <c r="W50" s="27">
        <f t="shared" si="12"/>
        <v>0</v>
      </c>
    </row>
    <row r="51" spans="3:23">
      <c r="E51" s="58" t="s">
        <v>397</v>
      </c>
      <c r="G51" s="58" t="s">
        <v>399</v>
      </c>
      <c r="J51" s="392">
        <f>J50/$F$49</f>
        <v>0</v>
      </c>
      <c r="K51" s="392">
        <f t="shared" ref="K51:W51" si="13">K50/$F$49</f>
        <v>0</v>
      </c>
      <c r="L51" s="392">
        <f t="shared" si="13"/>
        <v>0</v>
      </c>
      <c r="M51" s="392">
        <f t="shared" si="13"/>
        <v>0</v>
      </c>
      <c r="N51" s="392">
        <f t="shared" si="13"/>
        <v>0</v>
      </c>
      <c r="O51" s="392">
        <f t="shared" si="13"/>
        <v>0</v>
      </c>
      <c r="P51" s="392">
        <f t="shared" si="13"/>
        <v>0.22465753424657534</v>
      </c>
      <c r="Q51" s="392">
        <f t="shared" si="13"/>
        <v>1.2273972602739727</v>
      </c>
      <c r="R51" s="392">
        <f t="shared" si="13"/>
        <v>2.2273972602739724</v>
      </c>
      <c r="S51" s="392">
        <f t="shared" si="13"/>
        <v>3.2273972602739724</v>
      </c>
      <c r="T51" s="392">
        <f t="shared" si="13"/>
        <v>4.2273972602739729</v>
      </c>
      <c r="U51" s="392">
        <f t="shared" si="13"/>
        <v>5.2301369863013702</v>
      </c>
      <c r="V51" s="392">
        <f t="shared" si="13"/>
        <v>0</v>
      </c>
      <c r="W51" s="392">
        <f t="shared" si="13"/>
        <v>0</v>
      </c>
    </row>
    <row r="53" spans="3:23">
      <c r="C53" s="16" t="s">
        <v>400</v>
      </c>
    </row>
    <row r="55" spans="3:23">
      <c r="E55" s="357" t="str">
        <f xml:space="preserve"> InpC!E$59</f>
        <v>Cost of Capital</v>
      </c>
      <c r="F55" s="357">
        <f xml:space="preserve"> InpC!F$59</f>
        <v>0.2</v>
      </c>
      <c r="G55" s="357" t="str">
        <f xml:space="preserve"> InpC!G$59</f>
        <v>%</v>
      </c>
      <c r="H55" s="357">
        <f xml:space="preserve"> InpC!H$59</f>
        <v>0</v>
      </c>
      <c r="I55" s="357">
        <f xml:space="preserve"> InpC!I$59</f>
        <v>0</v>
      </c>
      <c r="J55" s="357"/>
      <c r="K55" s="357"/>
      <c r="L55" s="357"/>
      <c r="M55" s="357"/>
      <c r="N55" s="357"/>
      <c r="O55" s="357"/>
      <c r="P55" s="357"/>
      <c r="Q55" s="357"/>
      <c r="R55" s="357"/>
      <c r="S55" s="357"/>
      <c r="T55" s="357"/>
      <c r="U55" s="357"/>
      <c r="V55" s="357"/>
      <c r="W55" s="357"/>
    </row>
    <row r="56" spans="3:23">
      <c r="E56" s="27" t="str">
        <f xml:space="preserve"> E$51</f>
        <v>Years from valuation date</v>
      </c>
      <c r="F56" s="27">
        <f t="shared" ref="F56:W56" si="14" xml:space="preserve"> F$51</f>
        <v>0</v>
      </c>
      <c r="G56" s="27" t="str">
        <f t="shared" si="14"/>
        <v>Yrs</v>
      </c>
      <c r="H56" s="27">
        <f t="shared" si="14"/>
        <v>0</v>
      </c>
      <c r="I56" s="27">
        <f t="shared" si="14"/>
        <v>0</v>
      </c>
      <c r="J56" s="27">
        <f t="shared" si="14"/>
        <v>0</v>
      </c>
      <c r="K56" s="27">
        <f t="shared" si="14"/>
        <v>0</v>
      </c>
      <c r="L56" s="27">
        <f t="shared" si="14"/>
        <v>0</v>
      </c>
      <c r="M56" s="27">
        <f t="shared" si="14"/>
        <v>0</v>
      </c>
      <c r="N56" s="27">
        <f t="shared" si="14"/>
        <v>0</v>
      </c>
      <c r="O56" s="27">
        <f t="shared" si="14"/>
        <v>0</v>
      </c>
      <c r="P56" s="27">
        <f t="shared" si="14"/>
        <v>0.22465753424657534</v>
      </c>
      <c r="Q56" s="27">
        <f t="shared" si="14"/>
        <v>1.2273972602739727</v>
      </c>
      <c r="R56" s="27">
        <f t="shared" si="14"/>
        <v>2.2273972602739724</v>
      </c>
      <c r="S56" s="27">
        <f t="shared" si="14"/>
        <v>3.2273972602739724</v>
      </c>
      <c r="T56" s="27">
        <f t="shared" si="14"/>
        <v>4.2273972602739729</v>
      </c>
      <c r="U56" s="27">
        <f t="shared" si="14"/>
        <v>5.2301369863013702</v>
      </c>
      <c r="V56" s="27">
        <f t="shared" si="14"/>
        <v>0</v>
      </c>
      <c r="W56" s="27">
        <f t="shared" si="14"/>
        <v>0</v>
      </c>
    </row>
    <row r="57" spans="3:23">
      <c r="E57" s="282" t="str">
        <f xml:space="preserve"> Time!E$43</f>
        <v>Forecast period flag</v>
      </c>
      <c r="F57" s="282">
        <f xml:space="preserve"> Time!F$43</f>
        <v>0</v>
      </c>
      <c r="G57" s="282" t="str">
        <f xml:space="preserve"> Time!G$43</f>
        <v>flag</v>
      </c>
      <c r="H57" s="282">
        <f xml:space="preserve"> Time!H$43</f>
        <v>6</v>
      </c>
      <c r="I57" s="282">
        <f xml:space="preserve"> Time!I$43</f>
        <v>0</v>
      </c>
      <c r="J57" s="282">
        <f xml:space="preserve"> Time!J$43</f>
        <v>0</v>
      </c>
      <c r="K57" s="282">
        <f xml:space="preserve"> Time!K$43</f>
        <v>0</v>
      </c>
      <c r="L57" s="282">
        <f xml:space="preserve"> Time!L$43</f>
        <v>0</v>
      </c>
      <c r="M57" s="282">
        <f xml:space="preserve"> Time!M$43</f>
        <v>0</v>
      </c>
      <c r="N57" s="282">
        <f xml:space="preserve"> Time!N$43</f>
        <v>0</v>
      </c>
      <c r="O57" s="282">
        <f xml:space="preserve"> Time!O$43</f>
        <v>0</v>
      </c>
      <c r="P57" s="282">
        <f xml:space="preserve"> Time!P$43</f>
        <v>1</v>
      </c>
      <c r="Q57" s="282">
        <f xml:space="preserve"> Time!Q$43</f>
        <v>1</v>
      </c>
      <c r="R57" s="282">
        <f xml:space="preserve"> Time!R$43</f>
        <v>1</v>
      </c>
      <c r="S57" s="282">
        <f xml:space="preserve"> Time!S$43</f>
        <v>1</v>
      </c>
      <c r="T57" s="282">
        <f xml:space="preserve"> Time!T$43</f>
        <v>1</v>
      </c>
      <c r="U57" s="282">
        <f xml:space="preserve"> Time!U$43</f>
        <v>1</v>
      </c>
      <c r="V57" s="282">
        <f xml:space="preserve"> Time!V$43</f>
        <v>0</v>
      </c>
      <c r="W57" s="282">
        <f xml:space="preserve"> Time!W$43</f>
        <v>0</v>
      </c>
    </row>
    <row r="58" spans="3:23">
      <c r="E58" s="58" t="s">
        <v>400</v>
      </c>
      <c r="G58" s="58" t="s">
        <v>167</v>
      </c>
      <c r="J58" s="392">
        <f>1/((1+$F$55)^J56)*J57</f>
        <v>0</v>
      </c>
      <c r="K58" s="392">
        <f t="shared" ref="K58:W58" si="15">1/((1+$F$55)^K56)*K57</f>
        <v>0</v>
      </c>
      <c r="L58" s="392">
        <f t="shared" si="15"/>
        <v>0</v>
      </c>
      <c r="M58" s="392">
        <f t="shared" si="15"/>
        <v>0</v>
      </c>
      <c r="N58" s="392">
        <f t="shared" si="15"/>
        <v>0</v>
      </c>
      <c r="O58" s="392">
        <f t="shared" si="15"/>
        <v>0</v>
      </c>
      <c r="P58" s="392">
        <f t="shared" si="15"/>
        <v>0.95986760893538159</v>
      </c>
      <c r="Q58" s="392">
        <f t="shared" si="15"/>
        <v>0.79949022010438597</v>
      </c>
      <c r="R58" s="392">
        <f t="shared" si="15"/>
        <v>0.66624185008698822</v>
      </c>
      <c r="S58" s="392">
        <f t="shared" si="15"/>
        <v>0.55520154173915692</v>
      </c>
      <c r="T58" s="392">
        <f t="shared" si="15"/>
        <v>0.46266795144929734</v>
      </c>
      <c r="U58" s="392">
        <f t="shared" si="15"/>
        <v>0.38536408448005638</v>
      </c>
      <c r="V58" s="392">
        <f t="shared" si="15"/>
        <v>0</v>
      </c>
      <c r="W58" s="392">
        <f t="shared" si="15"/>
        <v>0</v>
      </c>
    </row>
    <row r="60" spans="3:23">
      <c r="C60" s="16" t="s">
        <v>408</v>
      </c>
    </row>
    <row r="62" spans="3:23">
      <c r="E62" s="27" t="str">
        <f xml:space="preserve"> E$58</f>
        <v>Discount rate</v>
      </c>
      <c r="F62" s="27">
        <f t="shared" ref="F62:W62" si="16" xml:space="preserve"> F$58</f>
        <v>0</v>
      </c>
      <c r="G62" s="27" t="str">
        <f t="shared" si="16"/>
        <v>factor</v>
      </c>
      <c r="H62" s="27">
        <f t="shared" si="16"/>
        <v>0</v>
      </c>
      <c r="I62" s="27">
        <f t="shared" si="16"/>
        <v>0</v>
      </c>
      <c r="J62" s="27">
        <f t="shared" si="16"/>
        <v>0</v>
      </c>
      <c r="K62" s="27">
        <f t="shared" si="16"/>
        <v>0</v>
      </c>
      <c r="L62" s="27">
        <f t="shared" si="16"/>
        <v>0</v>
      </c>
      <c r="M62" s="27">
        <f t="shared" si="16"/>
        <v>0</v>
      </c>
      <c r="N62" s="27">
        <f t="shared" si="16"/>
        <v>0</v>
      </c>
      <c r="O62" s="27">
        <f t="shared" si="16"/>
        <v>0</v>
      </c>
      <c r="P62" s="27">
        <f t="shared" si="16"/>
        <v>0.95986760893538159</v>
      </c>
      <c r="Q62" s="27">
        <f t="shared" si="16"/>
        <v>0.79949022010438597</v>
      </c>
      <c r="R62" s="27">
        <f t="shared" si="16"/>
        <v>0.66624185008698822</v>
      </c>
      <c r="S62" s="27">
        <f t="shared" si="16"/>
        <v>0.55520154173915692</v>
      </c>
      <c r="T62" s="27">
        <f t="shared" si="16"/>
        <v>0.46266795144929734</v>
      </c>
      <c r="U62" s="27">
        <f t="shared" si="16"/>
        <v>0.38536408448005638</v>
      </c>
      <c r="V62" s="27">
        <f t="shared" si="16"/>
        <v>0</v>
      </c>
      <c r="W62" s="27">
        <f t="shared" si="16"/>
        <v>0</v>
      </c>
    </row>
    <row r="63" spans="3:23">
      <c r="E63" s="27" t="str">
        <f xml:space="preserve"> E$35</f>
        <v>Total Forecast Cashflows</v>
      </c>
      <c r="F63" s="27">
        <f t="shared" ref="F63:W63" si="17" xml:space="preserve"> F$35</f>
        <v>0</v>
      </c>
      <c r="G63" s="27" t="str">
        <f t="shared" si="17"/>
        <v>Kes '000'</v>
      </c>
      <c r="H63" s="27">
        <f xml:space="preserve"> SUM(J63:W63)</f>
        <v>138605510.16812521</v>
      </c>
      <c r="I63" s="27">
        <f t="shared" si="17"/>
        <v>0</v>
      </c>
      <c r="J63" s="27">
        <f t="shared" si="17"/>
        <v>0</v>
      </c>
      <c r="K63" s="27">
        <f t="shared" si="17"/>
        <v>0</v>
      </c>
      <c r="L63" s="27">
        <f t="shared" si="17"/>
        <v>0</v>
      </c>
      <c r="M63" s="27">
        <f t="shared" si="17"/>
        <v>0</v>
      </c>
      <c r="N63" s="27">
        <f t="shared" si="17"/>
        <v>0</v>
      </c>
      <c r="O63" s="27">
        <f t="shared" si="17"/>
        <v>0</v>
      </c>
      <c r="P63" s="27">
        <f t="shared" si="17"/>
        <v>1222568.283540294</v>
      </c>
      <c r="Q63" s="27">
        <f t="shared" si="17"/>
        <v>6386092.6756404825</v>
      </c>
      <c r="R63" s="27">
        <f t="shared" si="17"/>
        <v>7578234.1220564237</v>
      </c>
      <c r="S63" s="27">
        <f t="shared" si="17"/>
        <v>7007931.9944153912</v>
      </c>
      <c r="T63" s="27">
        <f t="shared" si="17"/>
        <v>11229086.418404978</v>
      </c>
      <c r="U63" s="27">
        <f t="shared" si="17"/>
        <v>105181596.67406763</v>
      </c>
      <c r="V63" s="27">
        <f t="shared" si="17"/>
        <v>0</v>
      </c>
      <c r="W63" s="27">
        <f t="shared" si="17"/>
        <v>0</v>
      </c>
    </row>
    <row r="64" spans="3:23">
      <c r="E64" s="27" t="s">
        <v>408</v>
      </c>
      <c r="F64" s="27"/>
      <c r="G64" s="27" t="str">
        <f>smu</f>
        <v>Kes '000'</v>
      </c>
      <c r="H64" s="396">
        <f>SUMPRODUCT($J$62:$W$62,$J$63:$W$63)</f>
        <v>60947421.819813848</v>
      </c>
      <c r="I64" s="27"/>
      <c r="J64" s="27"/>
      <c r="K64" s="27"/>
      <c r="L64" s="27"/>
      <c r="M64" s="27"/>
      <c r="N64" s="27"/>
      <c r="O64" s="27"/>
      <c r="P64" s="27"/>
      <c r="Q64" s="27"/>
      <c r="R64" s="27"/>
      <c r="S64" s="27"/>
      <c r="T64" s="27"/>
      <c r="U64" s="27"/>
      <c r="V64" s="27"/>
      <c r="W64" s="27"/>
    </row>
    <row r="66" spans="3:23">
      <c r="C66" s="16" t="s">
        <v>410</v>
      </c>
    </row>
    <row r="68" spans="3:23">
      <c r="E68" s="27" t="str">
        <f xml:space="preserve"> E$64</f>
        <v>Enterprise Value</v>
      </c>
      <c r="F68" s="27">
        <f xml:space="preserve"> H$64</f>
        <v>60947421.819813848</v>
      </c>
      <c r="G68" s="27" t="str">
        <f t="shared" ref="G68:W68" si="18" xml:space="preserve"> G$64</f>
        <v>Kes '000'</v>
      </c>
      <c r="I68" s="27">
        <f t="shared" si="18"/>
        <v>0</v>
      </c>
      <c r="J68" s="27">
        <f t="shared" si="18"/>
        <v>0</v>
      </c>
      <c r="K68" s="27">
        <f t="shared" si="18"/>
        <v>0</v>
      </c>
      <c r="L68" s="27">
        <f t="shared" si="18"/>
        <v>0</v>
      </c>
      <c r="M68" s="27">
        <f t="shared" si="18"/>
        <v>0</v>
      </c>
      <c r="N68" s="27">
        <f t="shared" si="18"/>
        <v>0</v>
      </c>
      <c r="O68" s="27">
        <f t="shared" si="18"/>
        <v>0</v>
      </c>
      <c r="P68" s="27">
        <f t="shared" si="18"/>
        <v>0</v>
      </c>
      <c r="Q68" s="27">
        <f t="shared" si="18"/>
        <v>0</v>
      </c>
      <c r="R68" s="27">
        <f t="shared" si="18"/>
        <v>0</v>
      </c>
      <c r="S68" s="27">
        <f t="shared" si="18"/>
        <v>0</v>
      </c>
      <c r="T68" s="27">
        <f t="shared" si="18"/>
        <v>0</v>
      </c>
      <c r="U68" s="27">
        <f t="shared" si="18"/>
        <v>0</v>
      </c>
      <c r="V68" s="27">
        <f t="shared" si="18"/>
        <v>0</v>
      </c>
      <c r="W68" s="27">
        <f t="shared" si="18"/>
        <v>0</v>
      </c>
    </row>
    <row r="69" spans="3:23">
      <c r="E69" s="58" t="s">
        <v>412</v>
      </c>
      <c r="F69" s="282">
        <f xml:space="preserve"> FinStat!O$40</f>
        <v>198145</v>
      </c>
      <c r="G69" s="58" t="str">
        <f>smu</f>
        <v>Kes '000'</v>
      </c>
    </row>
    <row r="70" spans="3:23">
      <c r="D70" s="61" t="s">
        <v>36</v>
      </c>
      <c r="E70" s="58" t="s">
        <v>411</v>
      </c>
      <c r="F70" s="282">
        <f xml:space="preserve"> FinStat!O$52</f>
        <v>1035600</v>
      </c>
      <c r="G70" s="58" t="str">
        <f>smu</f>
        <v>Kes '000'</v>
      </c>
    </row>
    <row r="71" spans="3:23">
      <c r="D71" s="61" t="s">
        <v>36</v>
      </c>
      <c r="E71" s="58" t="s">
        <v>413</v>
      </c>
      <c r="F71" s="282">
        <f xml:space="preserve"> FinStat!O$58</f>
        <v>491654</v>
      </c>
      <c r="G71" s="58" t="str">
        <f>smu</f>
        <v>Kes '000'</v>
      </c>
    </row>
    <row r="72" spans="3:23">
      <c r="E72" s="58" t="s">
        <v>409</v>
      </c>
      <c r="F72" s="396">
        <f>F68+F69-F70-F71</f>
        <v>59618312.819813848</v>
      </c>
      <c r="G72" s="58" t="str">
        <f>smu</f>
        <v>Kes '000'</v>
      </c>
    </row>
    <row r="73" spans="3:23">
      <c r="E73" s="282" t="str">
        <f xml:space="preserve"> InpC!E$61</f>
        <v>Number of shares</v>
      </c>
      <c r="F73" s="282">
        <f xml:space="preserve"> InpC!F$61</f>
        <v>100000</v>
      </c>
      <c r="G73" s="282" t="str">
        <f xml:space="preserve"> InpC!G$61</f>
        <v>000'</v>
      </c>
      <c r="H73" s="282">
        <f xml:space="preserve"> InpC!H$61</f>
        <v>0</v>
      </c>
      <c r="I73" s="282">
        <f xml:space="preserve"> InpC!I$61</f>
        <v>0</v>
      </c>
      <c r="J73" s="282">
        <f xml:space="preserve"> InpC!J$61</f>
        <v>0</v>
      </c>
      <c r="K73" s="282">
        <f xml:space="preserve"> InpC!K$61</f>
        <v>0</v>
      </c>
      <c r="L73" s="282">
        <f xml:space="preserve"> InpC!L$61</f>
        <v>0</v>
      </c>
      <c r="M73" s="282">
        <f xml:space="preserve"> InpC!M$61</f>
        <v>0</v>
      </c>
      <c r="N73" s="282">
        <f xml:space="preserve"> InpC!N$61</f>
        <v>0</v>
      </c>
      <c r="O73" s="282">
        <f xml:space="preserve"> InpC!O$61</f>
        <v>0</v>
      </c>
      <c r="P73" s="282">
        <f xml:space="preserve"> InpC!P$61</f>
        <v>0</v>
      </c>
      <c r="Q73" s="282">
        <f xml:space="preserve"> InpC!Q$61</f>
        <v>0</v>
      </c>
      <c r="R73" s="282">
        <f xml:space="preserve"> InpC!R$61</f>
        <v>0</v>
      </c>
      <c r="S73" s="282">
        <f xml:space="preserve"> InpC!S$61</f>
        <v>0</v>
      </c>
      <c r="T73" s="282">
        <f xml:space="preserve"> InpC!T$61</f>
        <v>0</v>
      </c>
      <c r="U73" s="282">
        <f xml:space="preserve"> InpC!U$61</f>
        <v>0</v>
      </c>
      <c r="V73" s="282">
        <f xml:space="preserve"> InpC!V$61</f>
        <v>0</v>
      </c>
      <c r="W73" s="282">
        <f xml:space="preserve"> InpC!W$61</f>
        <v>0</v>
      </c>
    </row>
    <row r="74" spans="3:23">
      <c r="E74" s="398" t="s">
        <v>416</v>
      </c>
      <c r="F74" s="398">
        <f>F72/F73</f>
        <v>596.18312819813843</v>
      </c>
      <c r="G74" s="398" t="str">
        <f>smu</f>
        <v>Kes '000'</v>
      </c>
    </row>
  </sheetData>
  <conditionalFormatting sqref="F2">
    <cfRule type="cellIs" dxfId="11" priority="1" stopIfTrue="1" operator="notEqual">
      <formula>0</formula>
    </cfRule>
    <cfRule type="cellIs" dxfId="10" priority="2" stopIfTrue="1" operator="equal">
      <formula>""</formula>
    </cfRule>
  </conditionalFormatting>
  <conditionalFormatting sqref="J3:BY3">
    <cfRule type="cellIs" dxfId="9" priority="3" stopIfTrue="1" operator="equal">
      <formula>"Pre-forecast"</formula>
    </cfRule>
    <cfRule type="cellIs" dxfId="8" priority="4"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outlinePr summaryBelow="0" summaryRight="0"/>
  </sheetPr>
  <dimension ref="A1:BY64"/>
  <sheetViews>
    <sheetView defaultGridColor="0" colorId="22" zoomScale="80" workbookViewId="0">
      <pane xSplit="9" ySplit="5" topLeftCell="J38" activePane="bottomRight" state="frozen"/>
      <selection activeCell="Q27" sqref="Q27"/>
      <selection pane="topRight" activeCell="Q27" sqref="Q27"/>
      <selection pane="bottomLeft" activeCell="Q27" sqref="Q27"/>
      <selection pane="bottomRight" activeCell="E58" sqref="E58"/>
    </sheetView>
  </sheetViews>
  <sheetFormatPr defaultColWidth="0" defaultRowHeight="12.75" outlineLevelRow="1"/>
  <cols>
    <col min="1" max="2" width="1.28515625" style="4" customWidth="1"/>
    <col min="3" max="3" width="1.28515625" style="16" customWidth="1"/>
    <col min="4" max="4" width="1.28515625" style="26" customWidth="1"/>
    <col min="5" max="5" width="40.7109375" style="27" customWidth="1"/>
    <col min="6" max="6" width="12.7109375" style="27" customWidth="1"/>
    <col min="7" max="8" width="11.7109375" style="27" customWidth="1"/>
    <col min="9" max="9" width="2.7109375" style="27" customWidth="1"/>
    <col min="10" max="23" width="11.7109375" style="27" customWidth="1"/>
    <col min="24" max="77" width="11.7109375" style="27" hidden="1" customWidth="1"/>
    <col min="78" max="16384" width="0" style="27" hidden="1"/>
  </cols>
  <sheetData>
    <row r="1" spans="1:77" s="78" customFormat="1" ht="26.25">
      <c r="A1" s="75" t="str">
        <f ca="1" xml:space="preserve"> RIGHT(CELL("filename", A1), LEN(CELL("filename", A1)) - SEARCH("]", CELL("filename", A1)))</f>
        <v>Time</v>
      </c>
      <c r="B1" s="4"/>
      <c r="C1" s="76"/>
      <c r="D1" s="77"/>
    </row>
    <row r="2" spans="1:77" s="79" customFormat="1">
      <c r="C2" s="80"/>
      <c r="D2" s="81"/>
      <c r="E2" s="82" t="str">
        <f xml:space="preserve"> E$19</f>
        <v xml:space="preserve">Model period ending </v>
      </c>
      <c r="F2" s="193">
        <f xml:space="preserve"> FinStat!$F$69</f>
        <v>0</v>
      </c>
      <c r="G2" s="194" t="s">
        <v>56</v>
      </c>
      <c r="H2" s="83"/>
      <c r="J2" s="79">
        <f t="shared" ref="J2:BQ2" si="0" xml:space="preserve"> J$19</f>
        <v>40178</v>
      </c>
      <c r="K2" s="79">
        <f t="shared" si="0"/>
        <v>40543</v>
      </c>
      <c r="L2" s="79">
        <f t="shared" si="0"/>
        <v>40908</v>
      </c>
      <c r="M2" s="79">
        <f t="shared" si="0"/>
        <v>41274</v>
      </c>
      <c r="N2" s="79">
        <f t="shared" si="0"/>
        <v>41639</v>
      </c>
      <c r="O2" s="79">
        <f t="shared" si="0"/>
        <v>42004</v>
      </c>
      <c r="P2" s="79">
        <f t="shared" si="0"/>
        <v>42369</v>
      </c>
      <c r="Q2" s="79">
        <f t="shared" si="0"/>
        <v>42735</v>
      </c>
      <c r="R2" s="79">
        <f t="shared" si="0"/>
        <v>43100</v>
      </c>
      <c r="S2" s="79">
        <f t="shared" si="0"/>
        <v>43465</v>
      </c>
      <c r="T2" s="79">
        <f t="shared" si="0"/>
        <v>43830</v>
      </c>
      <c r="U2" s="79">
        <f t="shared" si="0"/>
        <v>44196</v>
      </c>
      <c r="V2" s="79">
        <f t="shared" si="0"/>
        <v>44561</v>
      </c>
      <c r="W2" s="79">
        <f t="shared" si="0"/>
        <v>44926</v>
      </c>
      <c r="X2" s="79">
        <f t="shared" si="0"/>
        <v>45291</v>
      </c>
      <c r="Y2" s="79">
        <f t="shared" si="0"/>
        <v>45657</v>
      </c>
      <c r="Z2" s="79">
        <f t="shared" si="0"/>
        <v>46022</v>
      </c>
      <c r="AA2" s="79">
        <f t="shared" si="0"/>
        <v>46387</v>
      </c>
      <c r="AB2" s="79">
        <f t="shared" si="0"/>
        <v>46752</v>
      </c>
      <c r="AC2" s="79">
        <f t="shared" si="0"/>
        <v>47118</v>
      </c>
      <c r="AD2" s="79">
        <f t="shared" si="0"/>
        <v>47483</v>
      </c>
      <c r="AE2" s="79">
        <f t="shared" si="0"/>
        <v>47848</v>
      </c>
      <c r="AF2" s="79">
        <f t="shared" si="0"/>
        <v>48213</v>
      </c>
      <c r="AG2" s="79">
        <f t="shared" si="0"/>
        <v>48579</v>
      </c>
      <c r="AH2" s="79">
        <f t="shared" si="0"/>
        <v>48944</v>
      </c>
      <c r="AI2" s="79">
        <f t="shared" si="0"/>
        <v>49309</v>
      </c>
      <c r="AJ2" s="79">
        <f t="shared" si="0"/>
        <v>49674</v>
      </c>
      <c r="AK2" s="79">
        <f t="shared" si="0"/>
        <v>50040</v>
      </c>
      <c r="AL2" s="79">
        <f t="shared" si="0"/>
        <v>50405</v>
      </c>
      <c r="AM2" s="79">
        <f t="shared" si="0"/>
        <v>50770</v>
      </c>
      <c r="AN2" s="79">
        <f t="shared" si="0"/>
        <v>51135</v>
      </c>
      <c r="AO2" s="79">
        <f t="shared" si="0"/>
        <v>51501</v>
      </c>
      <c r="AP2" s="79">
        <f t="shared" si="0"/>
        <v>51866</v>
      </c>
      <c r="AQ2" s="79">
        <f t="shared" si="0"/>
        <v>52231</v>
      </c>
      <c r="AR2" s="79">
        <f t="shared" si="0"/>
        <v>52596</v>
      </c>
      <c r="AS2" s="79">
        <f t="shared" si="0"/>
        <v>52962</v>
      </c>
      <c r="AT2" s="79">
        <f t="shared" si="0"/>
        <v>53327</v>
      </c>
      <c r="AU2" s="79">
        <f t="shared" si="0"/>
        <v>53692</v>
      </c>
      <c r="AV2" s="79">
        <f t="shared" si="0"/>
        <v>54057</v>
      </c>
      <c r="AW2" s="79">
        <f t="shared" si="0"/>
        <v>54423</v>
      </c>
      <c r="AX2" s="79">
        <f t="shared" si="0"/>
        <v>54788</v>
      </c>
      <c r="AY2" s="79">
        <f t="shared" si="0"/>
        <v>55153</v>
      </c>
      <c r="AZ2" s="79">
        <f t="shared" si="0"/>
        <v>55518</v>
      </c>
      <c r="BA2" s="79">
        <f t="shared" si="0"/>
        <v>55884</v>
      </c>
      <c r="BB2" s="79">
        <f t="shared" si="0"/>
        <v>56249</v>
      </c>
      <c r="BC2" s="79">
        <f t="shared" si="0"/>
        <v>56614</v>
      </c>
      <c r="BD2" s="79">
        <f t="shared" si="0"/>
        <v>56979</v>
      </c>
      <c r="BE2" s="79">
        <f t="shared" si="0"/>
        <v>57345</v>
      </c>
      <c r="BF2" s="79">
        <f t="shared" si="0"/>
        <v>57710</v>
      </c>
      <c r="BG2" s="79">
        <f t="shared" si="0"/>
        <v>58075</v>
      </c>
      <c r="BH2" s="79">
        <f t="shared" si="0"/>
        <v>58440</v>
      </c>
      <c r="BI2" s="79">
        <f t="shared" si="0"/>
        <v>58806</v>
      </c>
      <c r="BJ2" s="79">
        <f t="shared" si="0"/>
        <v>59171</v>
      </c>
      <c r="BK2" s="79">
        <f t="shared" si="0"/>
        <v>59536</v>
      </c>
      <c r="BL2" s="79">
        <f t="shared" si="0"/>
        <v>59901</v>
      </c>
      <c r="BM2" s="79">
        <f t="shared" si="0"/>
        <v>60267</v>
      </c>
      <c r="BN2" s="79">
        <f t="shared" si="0"/>
        <v>60632</v>
      </c>
      <c r="BO2" s="79">
        <f t="shared" si="0"/>
        <v>60997</v>
      </c>
      <c r="BP2" s="79">
        <f t="shared" si="0"/>
        <v>61362</v>
      </c>
      <c r="BQ2" s="79">
        <f t="shared" si="0"/>
        <v>61728</v>
      </c>
      <c r="BR2" s="79">
        <f t="shared" ref="BR2:BY2" si="1" xml:space="preserve"> BR$19</f>
        <v>62093</v>
      </c>
      <c r="BS2" s="79">
        <f t="shared" si="1"/>
        <v>62458</v>
      </c>
      <c r="BT2" s="79">
        <f t="shared" si="1"/>
        <v>62823</v>
      </c>
      <c r="BU2" s="79">
        <f t="shared" si="1"/>
        <v>63189</v>
      </c>
      <c r="BV2" s="79">
        <f t="shared" si="1"/>
        <v>63554</v>
      </c>
      <c r="BW2" s="79">
        <f t="shared" si="1"/>
        <v>63919</v>
      </c>
      <c r="BX2" s="79">
        <f t="shared" si="1"/>
        <v>64284</v>
      </c>
      <c r="BY2" s="79">
        <f t="shared" si="1"/>
        <v>64650</v>
      </c>
    </row>
    <row r="3" spans="1:77" s="79" customFormat="1">
      <c r="C3" s="80"/>
      <c r="D3" s="81"/>
      <c r="E3" s="82" t="str">
        <f xml:space="preserve"> E$64</f>
        <v>Pre-forecast Vs forecast</v>
      </c>
      <c r="F3" s="87"/>
      <c r="G3" s="87"/>
      <c r="H3" s="83"/>
      <c r="J3" s="122" t="str">
        <f xml:space="preserve"> J$64</f>
        <v>Pre-forecast</v>
      </c>
      <c r="K3" s="122" t="str">
        <f t="shared" ref="K3:BV3" si="2" xml:space="preserve"> K$64</f>
        <v>Pre-forecast</v>
      </c>
      <c r="L3" s="122" t="str">
        <f t="shared" si="2"/>
        <v>Pre-forecast</v>
      </c>
      <c r="M3" s="122" t="str">
        <f t="shared" si="2"/>
        <v>Pre-forecast</v>
      </c>
      <c r="N3" s="122" t="str">
        <f t="shared" si="2"/>
        <v>Pre-forecast</v>
      </c>
      <c r="O3" s="122" t="str">
        <f t="shared" si="2"/>
        <v>Pre-forecast</v>
      </c>
      <c r="P3" s="122" t="str">
        <f t="shared" si="2"/>
        <v>Forecast</v>
      </c>
      <c r="Q3" s="122" t="str">
        <f t="shared" si="2"/>
        <v>Forecast</v>
      </c>
      <c r="R3" s="122" t="str">
        <f t="shared" si="2"/>
        <v>Forecast</v>
      </c>
      <c r="S3" s="122" t="str">
        <f t="shared" si="2"/>
        <v>Forecast</v>
      </c>
      <c r="T3" s="122" t="str">
        <f t="shared" si="2"/>
        <v>Forecast</v>
      </c>
      <c r="U3" s="122" t="str">
        <f t="shared" si="2"/>
        <v>Forecast</v>
      </c>
      <c r="V3" s="122" t="str">
        <f t="shared" si="2"/>
        <v>Post-Frcst</v>
      </c>
      <c r="W3" s="122" t="str">
        <f t="shared" si="2"/>
        <v>Post-Frcst</v>
      </c>
      <c r="X3" s="122" t="str">
        <f t="shared" si="2"/>
        <v>Post-Frcst</v>
      </c>
      <c r="Y3" s="122" t="str">
        <f t="shared" si="2"/>
        <v>Post-Frcst</v>
      </c>
      <c r="Z3" s="122" t="str">
        <f t="shared" si="2"/>
        <v>Post-Frcst</v>
      </c>
      <c r="AA3" s="122" t="str">
        <f t="shared" si="2"/>
        <v>Post-Frcst</v>
      </c>
      <c r="AB3" s="122" t="str">
        <f t="shared" si="2"/>
        <v>Post-Frcst</v>
      </c>
      <c r="AC3" s="122" t="str">
        <f t="shared" si="2"/>
        <v>Post-Frcst</v>
      </c>
      <c r="AD3" s="122" t="str">
        <f t="shared" si="2"/>
        <v>Post-Frcst</v>
      </c>
      <c r="AE3" s="122" t="str">
        <f t="shared" si="2"/>
        <v>Post-Frcst</v>
      </c>
      <c r="AF3" s="122" t="str">
        <f t="shared" si="2"/>
        <v>Post-Frcst</v>
      </c>
      <c r="AG3" s="122" t="str">
        <f t="shared" si="2"/>
        <v>Post-Frcst</v>
      </c>
      <c r="AH3" s="122" t="str">
        <f t="shared" si="2"/>
        <v>Post-Frcst</v>
      </c>
      <c r="AI3" s="122" t="str">
        <f t="shared" si="2"/>
        <v>Post-Frcst</v>
      </c>
      <c r="AJ3" s="122" t="str">
        <f t="shared" si="2"/>
        <v>Post-Frcst</v>
      </c>
      <c r="AK3" s="122" t="str">
        <f t="shared" si="2"/>
        <v>Post-Frcst</v>
      </c>
      <c r="AL3" s="122" t="str">
        <f t="shared" si="2"/>
        <v>Post-Frcst</v>
      </c>
      <c r="AM3" s="122" t="str">
        <f t="shared" si="2"/>
        <v>Post-Frcst</v>
      </c>
      <c r="AN3" s="122" t="str">
        <f t="shared" si="2"/>
        <v>Post-Frcst</v>
      </c>
      <c r="AO3" s="122" t="str">
        <f t="shared" si="2"/>
        <v>Post-Frcst</v>
      </c>
      <c r="AP3" s="122" t="str">
        <f t="shared" si="2"/>
        <v>Post-Frcst</v>
      </c>
      <c r="AQ3" s="122" t="str">
        <f t="shared" si="2"/>
        <v>Post-Frcst</v>
      </c>
      <c r="AR3" s="122" t="str">
        <f t="shared" si="2"/>
        <v>Post-Frcst</v>
      </c>
      <c r="AS3" s="122" t="str">
        <f t="shared" si="2"/>
        <v>Post-Frcst</v>
      </c>
      <c r="AT3" s="122" t="str">
        <f t="shared" si="2"/>
        <v>Post-Frcst</v>
      </c>
      <c r="AU3" s="122" t="str">
        <f t="shared" si="2"/>
        <v>Post-Frcst</v>
      </c>
      <c r="AV3" s="122" t="str">
        <f t="shared" si="2"/>
        <v>Post-Frcst</v>
      </c>
      <c r="AW3" s="122" t="str">
        <f t="shared" si="2"/>
        <v>Post-Frcst</v>
      </c>
      <c r="AX3" s="122" t="str">
        <f t="shared" si="2"/>
        <v>Post-Frcst</v>
      </c>
      <c r="AY3" s="122" t="str">
        <f t="shared" si="2"/>
        <v>Post-Frcst</v>
      </c>
      <c r="AZ3" s="122" t="str">
        <f t="shared" si="2"/>
        <v>Post-Frcst</v>
      </c>
      <c r="BA3" s="122" t="str">
        <f t="shared" si="2"/>
        <v>Post-Frcst</v>
      </c>
      <c r="BB3" s="122" t="str">
        <f t="shared" si="2"/>
        <v>Post-Frcst</v>
      </c>
      <c r="BC3" s="122" t="str">
        <f t="shared" si="2"/>
        <v>Post-Frcst</v>
      </c>
      <c r="BD3" s="122" t="str">
        <f t="shared" si="2"/>
        <v>Post-Frcst</v>
      </c>
      <c r="BE3" s="122" t="str">
        <f t="shared" si="2"/>
        <v>Post-Frcst</v>
      </c>
      <c r="BF3" s="122" t="str">
        <f t="shared" si="2"/>
        <v>Post-Frcst</v>
      </c>
      <c r="BG3" s="122" t="str">
        <f t="shared" si="2"/>
        <v>Post-Frcst</v>
      </c>
      <c r="BH3" s="122" t="str">
        <f t="shared" si="2"/>
        <v>Post-Frcst</v>
      </c>
      <c r="BI3" s="122" t="str">
        <f t="shared" si="2"/>
        <v>Post-Frcst</v>
      </c>
      <c r="BJ3" s="122" t="str">
        <f t="shared" si="2"/>
        <v>Post-Frcst</v>
      </c>
      <c r="BK3" s="122" t="str">
        <f t="shared" si="2"/>
        <v>Post-Frcst</v>
      </c>
      <c r="BL3" s="122" t="str">
        <f t="shared" si="2"/>
        <v>Post-Frcst</v>
      </c>
      <c r="BM3" s="122" t="str">
        <f t="shared" si="2"/>
        <v>Post-Frcst</v>
      </c>
      <c r="BN3" s="122" t="str">
        <f t="shared" si="2"/>
        <v>Post-Frcst</v>
      </c>
      <c r="BO3" s="122" t="str">
        <f t="shared" si="2"/>
        <v>Post-Frcst</v>
      </c>
      <c r="BP3" s="122" t="str">
        <f t="shared" si="2"/>
        <v>Post-Frcst</v>
      </c>
      <c r="BQ3" s="122" t="str">
        <f t="shared" si="2"/>
        <v>Post-Frcst</v>
      </c>
      <c r="BR3" s="122" t="str">
        <f t="shared" si="2"/>
        <v>Post-Frcst</v>
      </c>
      <c r="BS3" s="122" t="str">
        <f t="shared" si="2"/>
        <v>Post-Frcst</v>
      </c>
      <c r="BT3" s="122" t="str">
        <f t="shared" si="2"/>
        <v>Post-Frcst</v>
      </c>
      <c r="BU3" s="122" t="str">
        <f t="shared" si="2"/>
        <v>Post-Frcst</v>
      </c>
      <c r="BV3" s="122" t="str">
        <f t="shared" si="2"/>
        <v>Post-Frcst</v>
      </c>
      <c r="BW3" s="122" t="str">
        <f xml:space="preserve"> BW$64</f>
        <v>Post-Frcst</v>
      </c>
      <c r="BX3" s="122" t="str">
        <f xml:space="preserve"> BX$64</f>
        <v>Post-Frcst</v>
      </c>
      <c r="BY3" s="122" t="str">
        <f xml:space="preserve"> BY$64</f>
        <v>Post-Frcst</v>
      </c>
    </row>
    <row r="4" spans="1:77" s="95" customFormat="1">
      <c r="A4" s="91"/>
      <c r="B4" s="92"/>
      <c r="C4" s="93"/>
      <c r="D4" s="94"/>
      <c r="E4" s="82" t="str">
        <f xml:space="preserve"> E$25</f>
        <v>Financial year ending</v>
      </c>
      <c r="F4" s="87"/>
      <c r="G4" s="87"/>
      <c r="J4" s="95">
        <f xml:space="preserve"> J$25</f>
        <v>2009</v>
      </c>
      <c r="K4" s="95">
        <f t="shared" ref="K4:BV4" si="3" xml:space="preserve"> K$25</f>
        <v>2010</v>
      </c>
      <c r="L4" s="95">
        <f t="shared" si="3"/>
        <v>2011</v>
      </c>
      <c r="M4" s="95">
        <f t="shared" si="3"/>
        <v>2012</v>
      </c>
      <c r="N4" s="95">
        <f t="shared" si="3"/>
        <v>2013</v>
      </c>
      <c r="O4" s="95">
        <f t="shared" si="3"/>
        <v>2014</v>
      </c>
      <c r="P4" s="95">
        <f t="shared" si="3"/>
        <v>2015</v>
      </c>
      <c r="Q4" s="95">
        <f t="shared" si="3"/>
        <v>2016</v>
      </c>
      <c r="R4" s="95">
        <f t="shared" si="3"/>
        <v>2017</v>
      </c>
      <c r="S4" s="95">
        <f t="shared" si="3"/>
        <v>2018</v>
      </c>
      <c r="T4" s="95">
        <f t="shared" si="3"/>
        <v>2019</v>
      </c>
      <c r="U4" s="95">
        <f t="shared" si="3"/>
        <v>2020</v>
      </c>
      <c r="V4" s="95">
        <f t="shared" si="3"/>
        <v>2021</v>
      </c>
      <c r="W4" s="95">
        <f t="shared" si="3"/>
        <v>2022</v>
      </c>
      <c r="X4" s="95">
        <f t="shared" si="3"/>
        <v>2023</v>
      </c>
      <c r="Y4" s="95">
        <f t="shared" si="3"/>
        <v>2024</v>
      </c>
      <c r="Z4" s="95">
        <f t="shared" si="3"/>
        <v>2025</v>
      </c>
      <c r="AA4" s="95">
        <f t="shared" si="3"/>
        <v>2026</v>
      </c>
      <c r="AB4" s="95">
        <f t="shared" si="3"/>
        <v>2027</v>
      </c>
      <c r="AC4" s="95">
        <f t="shared" si="3"/>
        <v>2028</v>
      </c>
      <c r="AD4" s="95">
        <f t="shared" si="3"/>
        <v>2029</v>
      </c>
      <c r="AE4" s="95">
        <f t="shared" si="3"/>
        <v>2030</v>
      </c>
      <c r="AF4" s="95">
        <f t="shared" si="3"/>
        <v>2031</v>
      </c>
      <c r="AG4" s="95">
        <f t="shared" si="3"/>
        <v>2032</v>
      </c>
      <c r="AH4" s="95">
        <f t="shared" si="3"/>
        <v>2033</v>
      </c>
      <c r="AI4" s="95">
        <f t="shared" si="3"/>
        <v>2034</v>
      </c>
      <c r="AJ4" s="95">
        <f t="shared" si="3"/>
        <v>2035</v>
      </c>
      <c r="AK4" s="95">
        <f t="shared" si="3"/>
        <v>2036</v>
      </c>
      <c r="AL4" s="95">
        <f t="shared" si="3"/>
        <v>2037</v>
      </c>
      <c r="AM4" s="95">
        <f t="shared" si="3"/>
        <v>2038</v>
      </c>
      <c r="AN4" s="95">
        <f t="shared" si="3"/>
        <v>2039</v>
      </c>
      <c r="AO4" s="95">
        <f t="shared" si="3"/>
        <v>2040</v>
      </c>
      <c r="AP4" s="95">
        <f t="shared" si="3"/>
        <v>2041</v>
      </c>
      <c r="AQ4" s="95">
        <f t="shared" si="3"/>
        <v>2042</v>
      </c>
      <c r="AR4" s="95">
        <f t="shared" si="3"/>
        <v>2043</v>
      </c>
      <c r="AS4" s="95">
        <f t="shared" si="3"/>
        <v>2044</v>
      </c>
      <c r="AT4" s="95">
        <f t="shared" si="3"/>
        <v>2045</v>
      </c>
      <c r="AU4" s="95">
        <f t="shared" si="3"/>
        <v>2046</v>
      </c>
      <c r="AV4" s="95">
        <f t="shared" si="3"/>
        <v>2047</v>
      </c>
      <c r="AW4" s="95">
        <f t="shared" si="3"/>
        <v>2048</v>
      </c>
      <c r="AX4" s="95">
        <f t="shared" si="3"/>
        <v>2049</v>
      </c>
      <c r="AY4" s="95">
        <f t="shared" si="3"/>
        <v>2050</v>
      </c>
      <c r="AZ4" s="95">
        <f t="shared" si="3"/>
        <v>2051</v>
      </c>
      <c r="BA4" s="95">
        <f t="shared" si="3"/>
        <v>2052</v>
      </c>
      <c r="BB4" s="95">
        <f t="shared" si="3"/>
        <v>2053</v>
      </c>
      <c r="BC4" s="95">
        <f t="shared" si="3"/>
        <v>2054</v>
      </c>
      <c r="BD4" s="95">
        <f t="shared" si="3"/>
        <v>2055</v>
      </c>
      <c r="BE4" s="95">
        <f t="shared" si="3"/>
        <v>2056</v>
      </c>
      <c r="BF4" s="95">
        <f t="shared" si="3"/>
        <v>2057</v>
      </c>
      <c r="BG4" s="95">
        <f t="shared" si="3"/>
        <v>2058</v>
      </c>
      <c r="BH4" s="95">
        <f t="shared" si="3"/>
        <v>2059</v>
      </c>
      <c r="BI4" s="95">
        <f t="shared" si="3"/>
        <v>2060</v>
      </c>
      <c r="BJ4" s="95">
        <f t="shared" si="3"/>
        <v>2061</v>
      </c>
      <c r="BK4" s="95">
        <f t="shared" si="3"/>
        <v>2062</v>
      </c>
      <c r="BL4" s="95">
        <f t="shared" si="3"/>
        <v>2063</v>
      </c>
      <c r="BM4" s="95">
        <f t="shared" si="3"/>
        <v>2064</v>
      </c>
      <c r="BN4" s="95">
        <f t="shared" si="3"/>
        <v>2065</v>
      </c>
      <c r="BO4" s="95">
        <f t="shared" si="3"/>
        <v>2066</v>
      </c>
      <c r="BP4" s="95">
        <f t="shared" si="3"/>
        <v>2067</v>
      </c>
      <c r="BQ4" s="95">
        <f t="shared" si="3"/>
        <v>2068</v>
      </c>
      <c r="BR4" s="95">
        <f t="shared" si="3"/>
        <v>2069</v>
      </c>
      <c r="BS4" s="95">
        <f t="shared" si="3"/>
        <v>2070</v>
      </c>
      <c r="BT4" s="95">
        <f t="shared" si="3"/>
        <v>2071</v>
      </c>
      <c r="BU4" s="95">
        <f t="shared" si="3"/>
        <v>2072</v>
      </c>
      <c r="BV4" s="95">
        <f t="shared" si="3"/>
        <v>2073</v>
      </c>
      <c r="BW4" s="95">
        <f xml:space="preserve"> BW$25</f>
        <v>2074</v>
      </c>
      <c r="BX4" s="95">
        <f xml:space="preserve"> BX$25</f>
        <v>2075</v>
      </c>
      <c r="BY4" s="95">
        <f xml:space="preserve"> 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s="14" customFormat="1">
      <c r="A7" s="84" t="s">
        <v>12</v>
      </c>
      <c r="B7" s="8"/>
      <c r="C7" s="9"/>
      <c r="D7" s="13"/>
      <c r="G7" s="15"/>
    </row>
    <row r="8" spans="1:77" s="14" customFormat="1">
      <c r="A8" s="84"/>
      <c r="B8" s="8"/>
      <c r="C8" s="9"/>
      <c r="D8" s="13"/>
      <c r="G8" s="15"/>
    </row>
    <row r="9" spans="1:77" s="186" customFormat="1" outlineLevel="1">
      <c r="A9" s="183"/>
      <c r="B9" s="184"/>
      <c r="C9" s="185"/>
      <c r="E9" s="186" t="s">
        <v>2</v>
      </c>
      <c r="G9" s="186" t="s">
        <v>20</v>
      </c>
      <c r="I9" s="187"/>
      <c r="J9" s="186">
        <f t="shared" ref="J9:BU9" si="4" xml:space="preserve"> I9 + 1</f>
        <v>1</v>
      </c>
      <c r="K9" s="186">
        <f t="shared" si="4"/>
        <v>2</v>
      </c>
      <c r="L9" s="186">
        <f t="shared" si="4"/>
        <v>3</v>
      </c>
      <c r="M9" s="186">
        <f t="shared" si="4"/>
        <v>4</v>
      </c>
      <c r="N9" s="186">
        <f t="shared" si="4"/>
        <v>5</v>
      </c>
      <c r="O9" s="186">
        <f t="shared" si="4"/>
        <v>6</v>
      </c>
      <c r="P9" s="186">
        <f t="shared" si="4"/>
        <v>7</v>
      </c>
      <c r="Q9" s="186">
        <f t="shared" si="4"/>
        <v>8</v>
      </c>
      <c r="R9" s="186">
        <f t="shared" si="4"/>
        <v>9</v>
      </c>
      <c r="S9" s="186">
        <f t="shared" si="4"/>
        <v>10</v>
      </c>
      <c r="T9" s="186">
        <f t="shared" si="4"/>
        <v>11</v>
      </c>
      <c r="U9" s="186">
        <f t="shared" si="4"/>
        <v>12</v>
      </c>
      <c r="V9" s="186">
        <f t="shared" si="4"/>
        <v>13</v>
      </c>
      <c r="W9" s="186">
        <f t="shared" si="4"/>
        <v>14</v>
      </c>
      <c r="X9" s="186">
        <f t="shared" si="4"/>
        <v>15</v>
      </c>
      <c r="Y9" s="186">
        <f t="shared" si="4"/>
        <v>16</v>
      </c>
      <c r="Z9" s="186">
        <f t="shared" si="4"/>
        <v>17</v>
      </c>
      <c r="AA9" s="186">
        <f t="shared" si="4"/>
        <v>18</v>
      </c>
      <c r="AB9" s="186">
        <f t="shared" si="4"/>
        <v>19</v>
      </c>
      <c r="AC9" s="186">
        <f t="shared" si="4"/>
        <v>20</v>
      </c>
      <c r="AD9" s="186">
        <f t="shared" si="4"/>
        <v>21</v>
      </c>
      <c r="AE9" s="186">
        <f t="shared" si="4"/>
        <v>22</v>
      </c>
      <c r="AF9" s="186">
        <f t="shared" si="4"/>
        <v>23</v>
      </c>
      <c r="AG9" s="186">
        <f t="shared" si="4"/>
        <v>24</v>
      </c>
      <c r="AH9" s="186">
        <f t="shared" si="4"/>
        <v>25</v>
      </c>
      <c r="AI9" s="186">
        <f t="shared" si="4"/>
        <v>26</v>
      </c>
      <c r="AJ9" s="186">
        <f t="shared" si="4"/>
        <v>27</v>
      </c>
      <c r="AK9" s="186">
        <f t="shared" si="4"/>
        <v>28</v>
      </c>
      <c r="AL9" s="186">
        <f t="shared" si="4"/>
        <v>29</v>
      </c>
      <c r="AM9" s="186">
        <f t="shared" si="4"/>
        <v>30</v>
      </c>
      <c r="AN9" s="186">
        <f t="shared" si="4"/>
        <v>31</v>
      </c>
      <c r="AO9" s="186">
        <f t="shared" si="4"/>
        <v>32</v>
      </c>
      <c r="AP9" s="186">
        <f t="shared" si="4"/>
        <v>33</v>
      </c>
      <c r="AQ9" s="186">
        <f t="shared" si="4"/>
        <v>34</v>
      </c>
      <c r="AR9" s="186">
        <f t="shared" si="4"/>
        <v>35</v>
      </c>
      <c r="AS9" s="186">
        <f t="shared" si="4"/>
        <v>36</v>
      </c>
      <c r="AT9" s="186">
        <f t="shared" si="4"/>
        <v>37</v>
      </c>
      <c r="AU9" s="186">
        <f t="shared" si="4"/>
        <v>38</v>
      </c>
      <c r="AV9" s="186">
        <f t="shared" si="4"/>
        <v>39</v>
      </c>
      <c r="AW9" s="186">
        <f t="shared" si="4"/>
        <v>40</v>
      </c>
      <c r="AX9" s="186">
        <f t="shared" si="4"/>
        <v>41</v>
      </c>
      <c r="AY9" s="186">
        <f t="shared" si="4"/>
        <v>42</v>
      </c>
      <c r="AZ9" s="186">
        <f t="shared" si="4"/>
        <v>43</v>
      </c>
      <c r="BA9" s="186">
        <f t="shared" si="4"/>
        <v>44</v>
      </c>
      <c r="BB9" s="186">
        <f t="shared" si="4"/>
        <v>45</v>
      </c>
      <c r="BC9" s="186">
        <f t="shared" si="4"/>
        <v>46</v>
      </c>
      <c r="BD9" s="186">
        <f t="shared" si="4"/>
        <v>47</v>
      </c>
      <c r="BE9" s="186">
        <f t="shared" si="4"/>
        <v>48</v>
      </c>
      <c r="BF9" s="186">
        <f t="shared" si="4"/>
        <v>49</v>
      </c>
      <c r="BG9" s="186">
        <f t="shared" si="4"/>
        <v>50</v>
      </c>
      <c r="BH9" s="186">
        <f t="shared" si="4"/>
        <v>51</v>
      </c>
      <c r="BI9" s="186">
        <f t="shared" si="4"/>
        <v>52</v>
      </c>
      <c r="BJ9" s="186">
        <f t="shared" si="4"/>
        <v>53</v>
      </c>
      <c r="BK9" s="186">
        <f t="shared" si="4"/>
        <v>54</v>
      </c>
      <c r="BL9" s="186">
        <f t="shared" si="4"/>
        <v>55</v>
      </c>
      <c r="BM9" s="186">
        <f t="shared" si="4"/>
        <v>56</v>
      </c>
      <c r="BN9" s="186">
        <f t="shared" si="4"/>
        <v>57</v>
      </c>
      <c r="BO9" s="186">
        <f t="shared" si="4"/>
        <v>58</v>
      </c>
      <c r="BP9" s="186">
        <f t="shared" si="4"/>
        <v>59</v>
      </c>
      <c r="BQ9" s="186">
        <f t="shared" si="4"/>
        <v>60</v>
      </c>
      <c r="BR9" s="186">
        <f t="shared" si="4"/>
        <v>61</v>
      </c>
      <c r="BS9" s="186">
        <f t="shared" si="4"/>
        <v>62</v>
      </c>
      <c r="BT9" s="186">
        <f t="shared" si="4"/>
        <v>63</v>
      </c>
      <c r="BU9" s="186">
        <f t="shared" si="4"/>
        <v>64</v>
      </c>
      <c r="BV9" s="186">
        <f xml:space="preserve"> BU9 + 1</f>
        <v>65</v>
      </c>
      <c r="BW9" s="186">
        <f xml:space="preserve"> BV9 + 1</f>
        <v>66</v>
      </c>
      <c r="BX9" s="186">
        <f xml:space="preserve"> BW9 + 1</f>
        <v>67</v>
      </c>
      <c r="BY9" s="186">
        <f xml:space="preserve"> BX9 + 1</f>
        <v>68</v>
      </c>
    </row>
    <row r="10" spans="1:77" s="191" customFormat="1" outlineLevel="1">
      <c r="A10" s="189"/>
      <c r="B10" s="188"/>
      <c r="C10" s="197"/>
      <c r="D10" s="190"/>
      <c r="E10" s="191" t="s">
        <v>3</v>
      </c>
      <c r="G10" s="191" t="s">
        <v>16</v>
      </c>
      <c r="H10" s="191">
        <f>SUM(J10:BY10)</f>
        <v>1</v>
      </c>
      <c r="J10" s="191">
        <f xml:space="preserve"> IF(J9 = 1, 1, 0)</f>
        <v>1</v>
      </c>
      <c r="K10" s="191">
        <f t="shared" ref="K10:BV10" si="5" xml:space="preserve"> IF(K9 = 1, 1, 0)</f>
        <v>0</v>
      </c>
      <c r="L10" s="191">
        <f t="shared" si="5"/>
        <v>0</v>
      </c>
      <c r="M10" s="191">
        <f t="shared" si="5"/>
        <v>0</v>
      </c>
      <c r="N10" s="191">
        <f t="shared" si="5"/>
        <v>0</v>
      </c>
      <c r="O10" s="191">
        <f t="shared" si="5"/>
        <v>0</v>
      </c>
      <c r="P10" s="191">
        <f t="shared" si="5"/>
        <v>0</v>
      </c>
      <c r="Q10" s="191">
        <f t="shared" si="5"/>
        <v>0</v>
      </c>
      <c r="R10" s="191">
        <f t="shared" si="5"/>
        <v>0</v>
      </c>
      <c r="S10" s="191">
        <f t="shared" si="5"/>
        <v>0</v>
      </c>
      <c r="T10" s="191">
        <f t="shared" si="5"/>
        <v>0</v>
      </c>
      <c r="U10" s="191">
        <f t="shared" si="5"/>
        <v>0</v>
      </c>
      <c r="V10" s="191">
        <f t="shared" si="5"/>
        <v>0</v>
      </c>
      <c r="W10" s="191">
        <f t="shared" si="5"/>
        <v>0</v>
      </c>
      <c r="X10" s="191">
        <f t="shared" si="5"/>
        <v>0</v>
      </c>
      <c r="Y10" s="191">
        <f t="shared" si="5"/>
        <v>0</v>
      </c>
      <c r="Z10" s="191">
        <f t="shared" si="5"/>
        <v>0</v>
      </c>
      <c r="AA10" s="191">
        <f t="shared" si="5"/>
        <v>0</v>
      </c>
      <c r="AB10" s="191">
        <f t="shared" si="5"/>
        <v>0</v>
      </c>
      <c r="AC10" s="191">
        <f t="shared" si="5"/>
        <v>0</v>
      </c>
      <c r="AD10" s="191">
        <f t="shared" si="5"/>
        <v>0</v>
      </c>
      <c r="AE10" s="191">
        <f t="shared" si="5"/>
        <v>0</v>
      </c>
      <c r="AF10" s="191">
        <f t="shared" si="5"/>
        <v>0</v>
      </c>
      <c r="AG10" s="191">
        <f t="shared" si="5"/>
        <v>0</v>
      </c>
      <c r="AH10" s="191">
        <f t="shared" si="5"/>
        <v>0</v>
      </c>
      <c r="AI10" s="191">
        <f t="shared" si="5"/>
        <v>0</v>
      </c>
      <c r="AJ10" s="191">
        <f t="shared" si="5"/>
        <v>0</v>
      </c>
      <c r="AK10" s="191">
        <f t="shared" si="5"/>
        <v>0</v>
      </c>
      <c r="AL10" s="191">
        <f t="shared" si="5"/>
        <v>0</v>
      </c>
      <c r="AM10" s="191">
        <f t="shared" si="5"/>
        <v>0</v>
      </c>
      <c r="AN10" s="191">
        <f t="shared" si="5"/>
        <v>0</v>
      </c>
      <c r="AO10" s="191">
        <f t="shared" si="5"/>
        <v>0</v>
      </c>
      <c r="AP10" s="191">
        <f t="shared" si="5"/>
        <v>0</v>
      </c>
      <c r="AQ10" s="191">
        <f t="shared" si="5"/>
        <v>0</v>
      </c>
      <c r="AR10" s="191">
        <f t="shared" si="5"/>
        <v>0</v>
      </c>
      <c r="AS10" s="191">
        <f t="shared" si="5"/>
        <v>0</v>
      </c>
      <c r="AT10" s="191">
        <f t="shared" si="5"/>
        <v>0</v>
      </c>
      <c r="AU10" s="191">
        <f t="shared" si="5"/>
        <v>0</v>
      </c>
      <c r="AV10" s="191">
        <f t="shared" si="5"/>
        <v>0</v>
      </c>
      <c r="AW10" s="191">
        <f t="shared" si="5"/>
        <v>0</v>
      </c>
      <c r="AX10" s="191">
        <f t="shared" si="5"/>
        <v>0</v>
      </c>
      <c r="AY10" s="191">
        <f t="shared" si="5"/>
        <v>0</v>
      </c>
      <c r="AZ10" s="191">
        <f t="shared" si="5"/>
        <v>0</v>
      </c>
      <c r="BA10" s="191">
        <f t="shared" si="5"/>
        <v>0</v>
      </c>
      <c r="BB10" s="191">
        <f t="shared" si="5"/>
        <v>0</v>
      </c>
      <c r="BC10" s="191">
        <f t="shared" si="5"/>
        <v>0</v>
      </c>
      <c r="BD10" s="191">
        <f t="shared" si="5"/>
        <v>0</v>
      </c>
      <c r="BE10" s="191">
        <f t="shared" si="5"/>
        <v>0</v>
      </c>
      <c r="BF10" s="191">
        <f t="shared" si="5"/>
        <v>0</v>
      </c>
      <c r="BG10" s="191">
        <f t="shared" si="5"/>
        <v>0</v>
      </c>
      <c r="BH10" s="191">
        <f t="shared" si="5"/>
        <v>0</v>
      </c>
      <c r="BI10" s="191">
        <f t="shared" si="5"/>
        <v>0</v>
      </c>
      <c r="BJ10" s="191">
        <f t="shared" si="5"/>
        <v>0</v>
      </c>
      <c r="BK10" s="191">
        <f t="shared" si="5"/>
        <v>0</v>
      </c>
      <c r="BL10" s="191">
        <f t="shared" si="5"/>
        <v>0</v>
      </c>
      <c r="BM10" s="191">
        <f t="shared" si="5"/>
        <v>0</v>
      </c>
      <c r="BN10" s="191">
        <f t="shared" si="5"/>
        <v>0</v>
      </c>
      <c r="BO10" s="191">
        <f t="shared" si="5"/>
        <v>0</v>
      </c>
      <c r="BP10" s="191">
        <f t="shared" si="5"/>
        <v>0</v>
      </c>
      <c r="BQ10" s="191">
        <f t="shared" si="5"/>
        <v>0</v>
      </c>
      <c r="BR10" s="191">
        <f t="shared" si="5"/>
        <v>0</v>
      </c>
      <c r="BS10" s="191">
        <f t="shared" si="5"/>
        <v>0</v>
      </c>
      <c r="BT10" s="191">
        <f t="shared" si="5"/>
        <v>0</v>
      </c>
      <c r="BU10" s="191">
        <f t="shared" si="5"/>
        <v>0</v>
      </c>
      <c r="BV10" s="191">
        <f t="shared" si="5"/>
        <v>0</v>
      </c>
      <c r="BW10" s="191">
        <f xml:space="preserve"> IF(BW9 = 1, 1, 0)</f>
        <v>0</v>
      </c>
      <c r="BX10" s="191">
        <f xml:space="preserve"> IF(BX9 = 1, 1, 0)</f>
        <v>0</v>
      </c>
      <c r="BY10" s="191">
        <f xml:space="preserve"> IF(BY9 = 1, 1, 0)</f>
        <v>0</v>
      </c>
    </row>
    <row r="11" spans="1:77" s="7" customFormat="1" outlineLevel="1">
      <c r="A11" s="4"/>
      <c r="B11" s="10"/>
      <c r="C11" s="5"/>
      <c r="D11" s="6"/>
    </row>
    <row r="12" spans="1:77" s="50" customFormat="1" outlineLevel="1">
      <c r="A12" s="128"/>
      <c r="B12" s="52"/>
      <c r="C12" s="48"/>
      <c r="D12" s="49"/>
      <c r="E12" s="50" t="str">
        <f xml:space="preserve"> InpC!E$9</f>
        <v>1st model column start date</v>
      </c>
      <c r="F12" s="50">
        <f xml:space="preserve"> InpC!F$9</f>
        <v>39814</v>
      </c>
      <c r="G12" s="50" t="str">
        <f xml:space="preserve"> InpC!G$9</f>
        <v>date</v>
      </c>
      <c r="I12" s="51"/>
    </row>
    <row r="13" spans="1:77" s="124" customFormat="1" outlineLevel="1">
      <c r="E13" s="124" t="str">
        <f xml:space="preserve"> InpC!E$11</f>
        <v>Months per model period</v>
      </c>
      <c r="F13" s="124">
        <f xml:space="preserve"> InpC!F$11</f>
        <v>12</v>
      </c>
      <c r="G13" s="124" t="str">
        <f xml:space="preserve"> InpC!G$11</f>
        <v>months</v>
      </c>
    </row>
    <row r="14" spans="1:77" s="7" customFormat="1" outlineLevel="1">
      <c r="A14" s="4"/>
      <c r="B14" s="10"/>
      <c r="C14" s="5"/>
      <c r="D14" s="6"/>
      <c r="E14" s="7" t="str">
        <f t="shared" ref="E14:AJ14" si="6" xml:space="preserve"> E$10</f>
        <v>First model column flag</v>
      </c>
      <c r="F14" s="7">
        <f t="shared" si="6"/>
        <v>0</v>
      </c>
      <c r="G14" s="7" t="str">
        <f t="shared" si="6"/>
        <v>flag</v>
      </c>
      <c r="H14" s="7">
        <f t="shared" si="6"/>
        <v>1</v>
      </c>
      <c r="I14" s="7">
        <f t="shared" si="6"/>
        <v>0</v>
      </c>
      <c r="J14" s="7">
        <f t="shared" si="6"/>
        <v>1</v>
      </c>
      <c r="K14" s="7">
        <f t="shared" si="6"/>
        <v>0</v>
      </c>
      <c r="L14" s="7">
        <f t="shared" si="6"/>
        <v>0</v>
      </c>
      <c r="M14" s="7">
        <f t="shared" si="6"/>
        <v>0</v>
      </c>
      <c r="N14" s="7">
        <f t="shared" si="6"/>
        <v>0</v>
      </c>
      <c r="O14" s="7">
        <f t="shared" si="6"/>
        <v>0</v>
      </c>
      <c r="P14" s="7">
        <f t="shared" si="6"/>
        <v>0</v>
      </c>
      <c r="Q14" s="7">
        <f t="shared" si="6"/>
        <v>0</v>
      </c>
      <c r="R14" s="7">
        <f t="shared" si="6"/>
        <v>0</v>
      </c>
      <c r="S14" s="7">
        <f t="shared" si="6"/>
        <v>0</v>
      </c>
      <c r="T14" s="7">
        <f t="shared" si="6"/>
        <v>0</v>
      </c>
      <c r="U14" s="7">
        <f t="shared" si="6"/>
        <v>0</v>
      </c>
      <c r="V14" s="7">
        <f t="shared" si="6"/>
        <v>0</v>
      </c>
      <c r="W14" s="7">
        <f t="shared" si="6"/>
        <v>0</v>
      </c>
      <c r="X14" s="7">
        <f t="shared" si="6"/>
        <v>0</v>
      </c>
      <c r="Y14" s="7">
        <f t="shared" si="6"/>
        <v>0</v>
      </c>
      <c r="Z14" s="7">
        <f t="shared" si="6"/>
        <v>0</v>
      </c>
      <c r="AA14" s="7">
        <f t="shared" si="6"/>
        <v>0</v>
      </c>
      <c r="AB14" s="7">
        <f t="shared" si="6"/>
        <v>0</v>
      </c>
      <c r="AC14" s="7">
        <f t="shared" si="6"/>
        <v>0</v>
      </c>
      <c r="AD14" s="7">
        <f t="shared" si="6"/>
        <v>0</v>
      </c>
      <c r="AE14" s="7">
        <f t="shared" si="6"/>
        <v>0</v>
      </c>
      <c r="AF14" s="7">
        <f t="shared" si="6"/>
        <v>0</v>
      </c>
      <c r="AG14" s="7">
        <f t="shared" si="6"/>
        <v>0</v>
      </c>
      <c r="AH14" s="7">
        <f t="shared" si="6"/>
        <v>0</v>
      </c>
      <c r="AI14" s="7">
        <f t="shared" si="6"/>
        <v>0</v>
      </c>
      <c r="AJ14" s="7">
        <f t="shared" si="6"/>
        <v>0</v>
      </c>
      <c r="AK14" s="7">
        <f t="shared" ref="AK14:BP14" si="7" xml:space="preserve"> AK$10</f>
        <v>0</v>
      </c>
      <c r="AL14" s="7">
        <f t="shared" si="7"/>
        <v>0</v>
      </c>
      <c r="AM14" s="7">
        <f t="shared" si="7"/>
        <v>0</v>
      </c>
      <c r="AN14" s="7">
        <f t="shared" si="7"/>
        <v>0</v>
      </c>
      <c r="AO14" s="7">
        <f t="shared" si="7"/>
        <v>0</v>
      </c>
      <c r="AP14" s="7">
        <f t="shared" si="7"/>
        <v>0</v>
      </c>
      <c r="AQ14" s="7">
        <f t="shared" si="7"/>
        <v>0</v>
      </c>
      <c r="AR14" s="7">
        <f t="shared" si="7"/>
        <v>0</v>
      </c>
      <c r="AS14" s="7">
        <f t="shared" si="7"/>
        <v>0</v>
      </c>
      <c r="AT14" s="7">
        <f t="shared" si="7"/>
        <v>0</v>
      </c>
      <c r="AU14" s="7">
        <f t="shared" si="7"/>
        <v>0</v>
      </c>
      <c r="AV14" s="7">
        <f t="shared" si="7"/>
        <v>0</v>
      </c>
      <c r="AW14" s="7">
        <f t="shared" si="7"/>
        <v>0</v>
      </c>
      <c r="AX14" s="7">
        <f t="shared" si="7"/>
        <v>0</v>
      </c>
      <c r="AY14" s="7">
        <f t="shared" si="7"/>
        <v>0</v>
      </c>
      <c r="AZ14" s="7">
        <f t="shared" si="7"/>
        <v>0</v>
      </c>
      <c r="BA14" s="7">
        <f t="shared" si="7"/>
        <v>0</v>
      </c>
      <c r="BB14" s="7">
        <f t="shared" si="7"/>
        <v>0</v>
      </c>
      <c r="BC14" s="7">
        <f t="shared" si="7"/>
        <v>0</v>
      </c>
      <c r="BD14" s="7">
        <f t="shared" si="7"/>
        <v>0</v>
      </c>
      <c r="BE14" s="7">
        <f t="shared" si="7"/>
        <v>0</v>
      </c>
      <c r="BF14" s="7">
        <f t="shared" si="7"/>
        <v>0</v>
      </c>
      <c r="BG14" s="7">
        <f t="shared" si="7"/>
        <v>0</v>
      </c>
      <c r="BH14" s="7">
        <f t="shared" si="7"/>
        <v>0</v>
      </c>
      <c r="BI14" s="7">
        <f t="shared" si="7"/>
        <v>0</v>
      </c>
      <c r="BJ14" s="7">
        <f t="shared" si="7"/>
        <v>0</v>
      </c>
      <c r="BK14" s="7">
        <f t="shared" si="7"/>
        <v>0</v>
      </c>
      <c r="BL14" s="7">
        <f t="shared" si="7"/>
        <v>0</v>
      </c>
      <c r="BM14" s="7">
        <f t="shared" si="7"/>
        <v>0</v>
      </c>
      <c r="BN14" s="7">
        <f t="shared" si="7"/>
        <v>0</v>
      </c>
      <c r="BO14" s="7">
        <f t="shared" si="7"/>
        <v>0</v>
      </c>
      <c r="BP14" s="7">
        <f t="shared" si="7"/>
        <v>0</v>
      </c>
      <c r="BQ14" s="7">
        <f t="shared" ref="BQ14:BY14" si="8" xml:space="preserve"> BQ$10</f>
        <v>0</v>
      </c>
      <c r="BR14" s="7">
        <f t="shared" si="8"/>
        <v>0</v>
      </c>
      <c r="BS14" s="7">
        <f t="shared" si="8"/>
        <v>0</v>
      </c>
      <c r="BT14" s="7">
        <f t="shared" si="8"/>
        <v>0</v>
      </c>
      <c r="BU14" s="7">
        <f t="shared" si="8"/>
        <v>0</v>
      </c>
      <c r="BV14" s="7">
        <f t="shared" si="8"/>
        <v>0</v>
      </c>
      <c r="BW14" s="7">
        <f t="shared" si="8"/>
        <v>0</v>
      </c>
      <c r="BX14" s="7">
        <f t="shared" si="8"/>
        <v>0</v>
      </c>
      <c r="BY14" s="7">
        <f t="shared" si="8"/>
        <v>0</v>
      </c>
    </row>
    <row r="15" spans="1:77" s="126" customFormat="1" outlineLevel="1">
      <c r="A15" s="21"/>
      <c r="B15" s="21"/>
      <c r="C15" s="38"/>
      <c r="D15" s="125"/>
      <c r="E15" s="126" t="s">
        <v>39</v>
      </c>
      <c r="G15" s="126" t="s">
        <v>17</v>
      </c>
      <c r="I15" s="127"/>
      <c r="J15" s="126">
        <f xml:space="preserve"> IF(J14 = 1, $F12, DATE(YEAR(I15), MONTH(I15) + $F13, DAY(1)))</f>
        <v>39814</v>
      </c>
      <c r="K15" s="126">
        <f t="shared" ref="K15:BV15" si="9" xml:space="preserve"> IF(K14 = 1, $F12, DATE(YEAR(J15), MONTH(J15) + $F13, DAY(1)))</f>
        <v>40179</v>
      </c>
      <c r="L15" s="126">
        <f t="shared" si="9"/>
        <v>40544</v>
      </c>
      <c r="M15" s="126">
        <f t="shared" si="9"/>
        <v>40909</v>
      </c>
      <c r="N15" s="126">
        <f t="shared" si="9"/>
        <v>41275</v>
      </c>
      <c r="O15" s="126">
        <f t="shared" si="9"/>
        <v>41640</v>
      </c>
      <c r="P15" s="126">
        <f t="shared" si="9"/>
        <v>42005</v>
      </c>
      <c r="Q15" s="126">
        <f t="shared" si="9"/>
        <v>42370</v>
      </c>
      <c r="R15" s="126">
        <f t="shared" si="9"/>
        <v>42736</v>
      </c>
      <c r="S15" s="126">
        <f t="shared" si="9"/>
        <v>43101</v>
      </c>
      <c r="T15" s="126">
        <f t="shared" si="9"/>
        <v>43466</v>
      </c>
      <c r="U15" s="126">
        <f t="shared" si="9"/>
        <v>43831</v>
      </c>
      <c r="V15" s="126">
        <f t="shared" si="9"/>
        <v>44197</v>
      </c>
      <c r="W15" s="126">
        <f t="shared" si="9"/>
        <v>44562</v>
      </c>
      <c r="X15" s="126">
        <f t="shared" si="9"/>
        <v>44927</v>
      </c>
      <c r="Y15" s="126">
        <f t="shared" si="9"/>
        <v>45292</v>
      </c>
      <c r="Z15" s="126">
        <f t="shared" si="9"/>
        <v>45658</v>
      </c>
      <c r="AA15" s="126">
        <f t="shared" si="9"/>
        <v>46023</v>
      </c>
      <c r="AB15" s="126">
        <f t="shared" si="9"/>
        <v>46388</v>
      </c>
      <c r="AC15" s="126">
        <f t="shared" si="9"/>
        <v>46753</v>
      </c>
      <c r="AD15" s="126">
        <f t="shared" si="9"/>
        <v>47119</v>
      </c>
      <c r="AE15" s="126">
        <f t="shared" si="9"/>
        <v>47484</v>
      </c>
      <c r="AF15" s="126">
        <f t="shared" si="9"/>
        <v>47849</v>
      </c>
      <c r="AG15" s="126">
        <f t="shared" si="9"/>
        <v>48214</v>
      </c>
      <c r="AH15" s="126">
        <f t="shared" si="9"/>
        <v>48580</v>
      </c>
      <c r="AI15" s="126">
        <f t="shared" si="9"/>
        <v>48945</v>
      </c>
      <c r="AJ15" s="126">
        <f t="shared" si="9"/>
        <v>49310</v>
      </c>
      <c r="AK15" s="126">
        <f t="shared" si="9"/>
        <v>49675</v>
      </c>
      <c r="AL15" s="126">
        <f t="shared" si="9"/>
        <v>50041</v>
      </c>
      <c r="AM15" s="126">
        <f t="shared" si="9"/>
        <v>50406</v>
      </c>
      <c r="AN15" s="126">
        <f t="shared" si="9"/>
        <v>50771</v>
      </c>
      <c r="AO15" s="126">
        <f t="shared" si="9"/>
        <v>51136</v>
      </c>
      <c r="AP15" s="126">
        <f t="shared" si="9"/>
        <v>51502</v>
      </c>
      <c r="AQ15" s="126">
        <f t="shared" si="9"/>
        <v>51867</v>
      </c>
      <c r="AR15" s="126">
        <f t="shared" si="9"/>
        <v>52232</v>
      </c>
      <c r="AS15" s="126">
        <f t="shared" si="9"/>
        <v>52597</v>
      </c>
      <c r="AT15" s="126">
        <f t="shared" si="9"/>
        <v>52963</v>
      </c>
      <c r="AU15" s="126">
        <f t="shared" si="9"/>
        <v>53328</v>
      </c>
      <c r="AV15" s="126">
        <f t="shared" si="9"/>
        <v>53693</v>
      </c>
      <c r="AW15" s="126">
        <f t="shared" si="9"/>
        <v>54058</v>
      </c>
      <c r="AX15" s="126">
        <f t="shared" si="9"/>
        <v>54424</v>
      </c>
      <c r="AY15" s="126">
        <f t="shared" si="9"/>
        <v>54789</v>
      </c>
      <c r="AZ15" s="126">
        <f t="shared" si="9"/>
        <v>55154</v>
      </c>
      <c r="BA15" s="126">
        <f t="shared" si="9"/>
        <v>55519</v>
      </c>
      <c r="BB15" s="126">
        <f t="shared" si="9"/>
        <v>55885</v>
      </c>
      <c r="BC15" s="126">
        <f t="shared" si="9"/>
        <v>56250</v>
      </c>
      <c r="BD15" s="126">
        <f t="shared" si="9"/>
        <v>56615</v>
      </c>
      <c r="BE15" s="126">
        <f t="shared" si="9"/>
        <v>56980</v>
      </c>
      <c r="BF15" s="126">
        <f t="shared" si="9"/>
        <v>57346</v>
      </c>
      <c r="BG15" s="126">
        <f t="shared" si="9"/>
        <v>57711</v>
      </c>
      <c r="BH15" s="126">
        <f t="shared" si="9"/>
        <v>58076</v>
      </c>
      <c r="BI15" s="126">
        <f t="shared" si="9"/>
        <v>58441</v>
      </c>
      <c r="BJ15" s="126">
        <f t="shared" si="9"/>
        <v>58807</v>
      </c>
      <c r="BK15" s="126">
        <f t="shared" si="9"/>
        <v>59172</v>
      </c>
      <c r="BL15" s="126">
        <f t="shared" si="9"/>
        <v>59537</v>
      </c>
      <c r="BM15" s="126">
        <f t="shared" si="9"/>
        <v>59902</v>
      </c>
      <c r="BN15" s="126">
        <f t="shared" si="9"/>
        <v>60268</v>
      </c>
      <c r="BO15" s="126">
        <f t="shared" si="9"/>
        <v>60633</v>
      </c>
      <c r="BP15" s="126">
        <f t="shared" si="9"/>
        <v>60998</v>
      </c>
      <c r="BQ15" s="126">
        <f t="shared" si="9"/>
        <v>61363</v>
      </c>
      <c r="BR15" s="126">
        <f t="shared" si="9"/>
        <v>61729</v>
      </c>
      <c r="BS15" s="126">
        <f t="shared" si="9"/>
        <v>62094</v>
      </c>
      <c r="BT15" s="126">
        <f t="shared" si="9"/>
        <v>62459</v>
      </c>
      <c r="BU15" s="126">
        <f t="shared" si="9"/>
        <v>62824</v>
      </c>
      <c r="BV15" s="126">
        <f t="shared" si="9"/>
        <v>63190</v>
      </c>
      <c r="BW15" s="126">
        <f xml:space="preserve"> IF(BW14 = 1, $F12, DATE(YEAR(BV15), MONTH(BV15) + $F13, DAY(1)))</f>
        <v>63555</v>
      </c>
      <c r="BX15" s="126">
        <f xml:space="preserve"> IF(BX14 = 1, $F12, DATE(YEAR(BW15), MONTH(BW15) + $F13, DAY(1)))</f>
        <v>63920</v>
      </c>
      <c r="BY15" s="126">
        <f xml:space="preserve"> IF(BY14 = 1, $F12, DATE(YEAR(BX15), MONTH(BX15) + $F13, DAY(1)))</f>
        <v>64285</v>
      </c>
    </row>
    <row r="16" spans="1:77" s="45" customFormat="1" outlineLevel="1">
      <c r="A16" s="60"/>
      <c r="B16" s="60"/>
      <c r="C16" s="46"/>
      <c r="D16" s="47"/>
    </row>
    <row r="17" spans="1:77" s="45" customFormat="1" outlineLevel="1">
      <c r="A17" s="60"/>
      <c r="B17" s="60"/>
      <c r="C17" s="46"/>
      <c r="D17" s="47"/>
      <c r="E17" s="124" t="str">
        <f xml:space="preserve"> InpC!E$11</f>
        <v>Months per model period</v>
      </c>
      <c r="F17" s="124">
        <f xml:space="preserve"> InpC!F$11</f>
        <v>12</v>
      </c>
      <c r="G17" s="124" t="str">
        <f xml:space="preserve"> InpC!G$11</f>
        <v>months</v>
      </c>
    </row>
    <row r="18" spans="1:77" s="126" customFormat="1" outlineLevel="1">
      <c r="A18" s="21"/>
      <c r="B18" s="21"/>
      <c r="C18" s="38"/>
      <c r="D18" s="125"/>
      <c r="E18" s="126" t="str">
        <f xml:space="preserve"> E$15</f>
        <v xml:space="preserve">Model period beginning </v>
      </c>
      <c r="F18" s="126">
        <f t="shared" ref="F18:BQ18" si="10" xml:space="preserve"> F$15</f>
        <v>0</v>
      </c>
      <c r="G18" s="126" t="str">
        <f t="shared" si="10"/>
        <v>date</v>
      </c>
      <c r="H18" s="126">
        <f t="shared" si="10"/>
        <v>0</v>
      </c>
      <c r="I18" s="126">
        <f t="shared" si="10"/>
        <v>0</v>
      </c>
      <c r="J18" s="126">
        <f t="shared" si="10"/>
        <v>39814</v>
      </c>
      <c r="K18" s="126">
        <f t="shared" si="10"/>
        <v>40179</v>
      </c>
      <c r="L18" s="126">
        <f t="shared" si="10"/>
        <v>40544</v>
      </c>
      <c r="M18" s="126">
        <f t="shared" si="10"/>
        <v>40909</v>
      </c>
      <c r="N18" s="126">
        <f t="shared" si="10"/>
        <v>41275</v>
      </c>
      <c r="O18" s="126">
        <f t="shared" si="10"/>
        <v>41640</v>
      </c>
      <c r="P18" s="126">
        <f t="shared" si="10"/>
        <v>42005</v>
      </c>
      <c r="Q18" s="126">
        <f t="shared" si="10"/>
        <v>42370</v>
      </c>
      <c r="R18" s="126">
        <f t="shared" si="10"/>
        <v>42736</v>
      </c>
      <c r="S18" s="126">
        <f t="shared" si="10"/>
        <v>43101</v>
      </c>
      <c r="T18" s="126">
        <f t="shared" si="10"/>
        <v>43466</v>
      </c>
      <c r="U18" s="126">
        <f t="shared" si="10"/>
        <v>43831</v>
      </c>
      <c r="V18" s="126">
        <f t="shared" si="10"/>
        <v>44197</v>
      </c>
      <c r="W18" s="126">
        <f t="shared" si="10"/>
        <v>44562</v>
      </c>
      <c r="X18" s="126">
        <f t="shared" si="10"/>
        <v>44927</v>
      </c>
      <c r="Y18" s="126">
        <f t="shared" si="10"/>
        <v>45292</v>
      </c>
      <c r="Z18" s="126">
        <f t="shared" si="10"/>
        <v>45658</v>
      </c>
      <c r="AA18" s="126">
        <f t="shared" si="10"/>
        <v>46023</v>
      </c>
      <c r="AB18" s="126">
        <f t="shared" si="10"/>
        <v>46388</v>
      </c>
      <c r="AC18" s="126">
        <f t="shared" si="10"/>
        <v>46753</v>
      </c>
      <c r="AD18" s="126">
        <f t="shared" si="10"/>
        <v>47119</v>
      </c>
      <c r="AE18" s="126">
        <f t="shared" si="10"/>
        <v>47484</v>
      </c>
      <c r="AF18" s="126">
        <f t="shared" si="10"/>
        <v>47849</v>
      </c>
      <c r="AG18" s="126">
        <f t="shared" si="10"/>
        <v>48214</v>
      </c>
      <c r="AH18" s="126">
        <f t="shared" si="10"/>
        <v>48580</v>
      </c>
      <c r="AI18" s="126">
        <f t="shared" si="10"/>
        <v>48945</v>
      </c>
      <c r="AJ18" s="126">
        <f t="shared" si="10"/>
        <v>49310</v>
      </c>
      <c r="AK18" s="126">
        <f t="shared" si="10"/>
        <v>49675</v>
      </c>
      <c r="AL18" s="126">
        <f t="shared" si="10"/>
        <v>50041</v>
      </c>
      <c r="AM18" s="126">
        <f t="shared" si="10"/>
        <v>50406</v>
      </c>
      <c r="AN18" s="126">
        <f t="shared" si="10"/>
        <v>50771</v>
      </c>
      <c r="AO18" s="126">
        <f t="shared" si="10"/>
        <v>51136</v>
      </c>
      <c r="AP18" s="126">
        <f t="shared" si="10"/>
        <v>51502</v>
      </c>
      <c r="AQ18" s="126">
        <f t="shared" si="10"/>
        <v>51867</v>
      </c>
      <c r="AR18" s="126">
        <f t="shared" si="10"/>
        <v>52232</v>
      </c>
      <c r="AS18" s="126">
        <f t="shared" si="10"/>
        <v>52597</v>
      </c>
      <c r="AT18" s="126">
        <f t="shared" si="10"/>
        <v>52963</v>
      </c>
      <c r="AU18" s="126">
        <f t="shared" si="10"/>
        <v>53328</v>
      </c>
      <c r="AV18" s="126">
        <f t="shared" si="10"/>
        <v>53693</v>
      </c>
      <c r="AW18" s="126">
        <f t="shared" si="10"/>
        <v>54058</v>
      </c>
      <c r="AX18" s="126">
        <f t="shared" si="10"/>
        <v>54424</v>
      </c>
      <c r="AY18" s="126">
        <f t="shared" si="10"/>
        <v>54789</v>
      </c>
      <c r="AZ18" s="126">
        <f t="shared" si="10"/>
        <v>55154</v>
      </c>
      <c r="BA18" s="126">
        <f t="shared" si="10"/>
        <v>55519</v>
      </c>
      <c r="BB18" s="126">
        <f t="shared" si="10"/>
        <v>55885</v>
      </c>
      <c r="BC18" s="126">
        <f t="shared" si="10"/>
        <v>56250</v>
      </c>
      <c r="BD18" s="126">
        <f t="shared" si="10"/>
        <v>56615</v>
      </c>
      <c r="BE18" s="126">
        <f t="shared" si="10"/>
        <v>56980</v>
      </c>
      <c r="BF18" s="126">
        <f t="shared" si="10"/>
        <v>57346</v>
      </c>
      <c r="BG18" s="126">
        <f t="shared" si="10"/>
        <v>57711</v>
      </c>
      <c r="BH18" s="126">
        <f t="shared" si="10"/>
        <v>58076</v>
      </c>
      <c r="BI18" s="126">
        <f t="shared" si="10"/>
        <v>58441</v>
      </c>
      <c r="BJ18" s="126">
        <f t="shared" si="10"/>
        <v>58807</v>
      </c>
      <c r="BK18" s="126">
        <f t="shared" si="10"/>
        <v>59172</v>
      </c>
      <c r="BL18" s="126">
        <f t="shared" si="10"/>
        <v>59537</v>
      </c>
      <c r="BM18" s="126">
        <f t="shared" si="10"/>
        <v>59902</v>
      </c>
      <c r="BN18" s="126">
        <f t="shared" si="10"/>
        <v>60268</v>
      </c>
      <c r="BO18" s="126">
        <f t="shared" si="10"/>
        <v>60633</v>
      </c>
      <c r="BP18" s="126">
        <f t="shared" si="10"/>
        <v>60998</v>
      </c>
      <c r="BQ18" s="126">
        <f t="shared" si="10"/>
        <v>61363</v>
      </c>
      <c r="BR18" s="126">
        <f t="shared" ref="BR18:BY18" si="11" xml:space="preserve"> BR$15</f>
        <v>61729</v>
      </c>
      <c r="BS18" s="126">
        <f t="shared" si="11"/>
        <v>62094</v>
      </c>
      <c r="BT18" s="126">
        <f t="shared" si="11"/>
        <v>62459</v>
      </c>
      <c r="BU18" s="126">
        <f t="shared" si="11"/>
        <v>62824</v>
      </c>
      <c r="BV18" s="126">
        <f t="shared" si="11"/>
        <v>63190</v>
      </c>
      <c r="BW18" s="126">
        <f t="shared" si="11"/>
        <v>63555</v>
      </c>
      <c r="BX18" s="126">
        <f t="shared" si="11"/>
        <v>63920</v>
      </c>
      <c r="BY18" s="126">
        <f t="shared" si="11"/>
        <v>64285</v>
      </c>
    </row>
    <row r="19" spans="1:77" s="126" customFormat="1" outlineLevel="1">
      <c r="A19" s="21"/>
      <c r="B19" s="21"/>
      <c r="C19" s="38"/>
      <c r="D19" s="125"/>
      <c r="E19" s="126" t="s">
        <v>33</v>
      </c>
      <c r="G19" s="126" t="s">
        <v>17</v>
      </c>
      <c r="J19" s="126">
        <f xml:space="preserve"> DATE(YEAR(J18), MONTH(J18) + $F17, DAY(J18) -1)</f>
        <v>40178</v>
      </c>
      <c r="K19" s="126">
        <f t="shared" ref="K19:BV19" si="12" xml:space="preserve"> DATE(YEAR(K18), MONTH(K18) + $F17, DAY(K18) -1)</f>
        <v>40543</v>
      </c>
      <c r="L19" s="126">
        <f t="shared" si="12"/>
        <v>40908</v>
      </c>
      <c r="M19" s="126">
        <f t="shared" si="12"/>
        <v>41274</v>
      </c>
      <c r="N19" s="126">
        <f t="shared" si="12"/>
        <v>41639</v>
      </c>
      <c r="O19" s="126">
        <f t="shared" si="12"/>
        <v>42004</v>
      </c>
      <c r="P19" s="126">
        <f t="shared" si="12"/>
        <v>42369</v>
      </c>
      <c r="Q19" s="126">
        <f t="shared" si="12"/>
        <v>42735</v>
      </c>
      <c r="R19" s="126">
        <f t="shared" si="12"/>
        <v>43100</v>
      </c>
      <c r="S19" s="126">
        <f t="shared" si="12"/>
        <v>43465</v>
      </c>
      <c r="T19" s="126">
        <f t="shared" si="12"/>
        <v>43830</v>
      </c>
      <c r="U19" s="126">
        <f t="shared" si="12"/>
        <v>44196</v>
      </c>
      <c r="V19" s="126">
        <f t="shared" si="12"/>
        <v>44561</v>
      </c>
      <c r="W19" s="126">
        <f t="shared" si="12"/>
        <v>44926</v>
      </c>
      <c r="X19" s="126">
        <f t="shared" si="12"/>
        <v>45291</v>
      </c>
      <c r="Y19" s="126">
        <f t="shared" si="12"/>
        <v>45657</v>
      </c>
      <c r="Z19" s="126">
        <f t="shared" si="12"/>
        <v>46022</v>
      </c>
      <c r="AA19" s="126">
        <f t="shared" si="12"/>
        <v>46387</v>
      </c>
      <c r="AB19" s="126">
        <f t="shared" si="12"/>
        <v>46752</v>
      </c>
      <c r="AC19" s="126">
        <f t="shared" si="12"/>
        <v>47118</v>
      </c>
      <c r="AD19" s="126">
        <f t="shared" si="12"/>
        <v>47483</v>
      </c>
      <c r="AE19" s="126">
        <f t="shared" si="12"/>
        <v>47848</v>
      </c>
      <c r="AF19" s="126">
        <f t="shared" si="12"/>
        <v>48213</v>
      </c>
      <c r="AG19" s="126">
        <f t="shared" si="12"/>
        <v>48579</v>
      </c>
      <c r="AH19" s="126">
        <f t="shared" si="12"/>
        <v>48944</v>
      </c>
      <c r="AI19" s="126">
        <f t="shared" si="12"/>
        <v>49309</v>
      </c>
      <c r="AJ19" s="126">
        <f t="shared" si="12"/>
        <v>49674</v>
      </c>
      <c r="AK19" s="126">
        <f t="shared" si="12"/>
        <v>50040</v>
      </c>
      <c r="AL19" s="126">
        <f t="shared" si="12"/>
        <v>50405</v>
      </c>
      <c r="AM19" s="126">
        <f t="shared" si="12"/>
        <v>50770</v>
      </c>
      <c r="AN19" s="126">
        <f t="shared" si="12"/>
        <v>51135</v>
      </c>
      <c r="AO19" s="126">
        <f t="shared" si="12"/>
        <v>51501</v>
      </c>
      <c r="AP19" s="126">
        <f t="shared" si="12"/>
        <v>51866</v>
      </c>
      <c r="AQ19" s="126">
        <f t="shared" si="12"/>
        <v>52231</v>
      </c>
      <c r="AR19" s="126">
        <f t="shared" si="12"/>
        <v>52596</v>
      </c>
      <c r="AS19" s="126">
        <f t="shared" si="12"/>
        <v>52962</v>
      </c>
      <c r="AT19" s="126">
        <f t="shared" si="12"/>
        <v>53327</v>
      </c>
      <c r="AU19" s="126">
        <f t="shared" si="12"/>
        <v>53692</v>
      </c>
      <c r="AV19" s="126">
        <f t="shared" si="12"/>
        <v>54057</v>
      </c>
      <c r="AW19" s="126">
        <f t="shared" si="12"/>
        <v>54423</v>
      </c>
      <c r="AX19" s="126">
        <f t="shared" si="12"/>
        <v>54788</v>
      </c>
      <c r="AY19" s="126">
        <f t="shared" si="12"/>
        <v>55153</v>
      </c>
      <c r="AZ19" s="126">
        <f t="shared" si="12"/>
        <v>55518</v>
      </c>
      <c r="BA19" s="126">
        <f t="shared" si="12"/>
        <v>55884</v>
      </c>
      <c r="BB19" s="126">
        <f t="shared" si="12"/>
        <v>56249</v>
      </c>
      <c r="BC19" s="126">
        <f t="shared" si="12"/>
        <v>56614</v>
      </c>
      <c r="BD19" s="126">
        <f t="shared" si="12"/>
        <v>56979</v>
      </c>
      <c r="BE19" s="126">
        <f t="shared" si="12"/>
        <v>57345</v>
      </c>
      <c r="BF19" s="126">
        <f t="shared" si="12"/>
        <v>57710</v>
      </c>
      <c r="BG19" s="126">
        <f t="shared" si="12"/>
        <v>58075</v>
      </c>
      <c r="BH19" s="126">
        <f t="shared" si="12"/>
        <v>58440</v>
      </c>
      <c r="BI19" s="126">
        <f t="shared" si="12"/>
        <v>58806</v>
      </c>
      <c r="BJ19" s="126">
        <f t="shared" si="12"/>
        <v>59171</v>
      </c>
      <c r="BK19" s="126">
        <f t="shared" si="12"/>
        <v>59536</v>
      </c>
      <c r="BL19" s="126">
        <f t="shared" si="12"/>
        <v>59901</v>
      </c>
      <c r="BM19" s="126">
        <f t="shared" si="12"/>
        <v>60267</v>
      </c>
      <c r="BN19" s="126">
        <f t="shared" si="12"/>
        <v>60632</v>
      </c>
      <c r="BO19" s="126">
        <f t="shared" si="12"/>
        <v>60997</v>
      </c>
      <c r="BP19" s="126">
        <f t="shared" si="12"/>
        <v>61362</v>
      </c>
      <c r="BQ19" s="126">
        <f t="shared" si="12"/>
        <v>61728</v>
      </c>
      <c r="BR19" s="126">
        <f t="shared" si="12"/>
        <v>62093</v>
      </c>
      <c r="BS19" s="126">
        <f t="shared" si="12"/>
        <v>62458</v>
      </c>
      <c r="BT19" s="126">
        <f t="shared" si="12"/>
        <v>62823</v>
      </c>
      <c r="BU19" s="126">
        <f t="shared" si="12"/>
        <v>63189</v>
      </c>
      <c r="BV19" s="126">
        <f t="shared" si="12"/>
        <v>63554</v>
      </c>
      <c r="BW19" s="126">
        <f xml:space="preserve"> DATE(YEAR(BW18), MONTH(BW18) + $F17, DAY(BW18) -1)</f>
        <v>63919</v>
      </c>
      <c r="BX19" s="126">
        <f xml:space="preserve"> DATE(YEAR(BX18), MONTH(BX18) + $F17, DAY(BX18) -1)</f>
        <v>64284</v>
      </c>
      <c r="BY19" s="126">
        <f xml:space="preserve"> DATE(YEAR(BY18), MONTH(BY18) + $F17, DAY(BY18) -1)</f>
        <v>64650</v>
      </c>
    </row>
    <row r="20" spans="1:77" s="37" customFormat="1" outlineLevel="1">
      <c r="A20" s="21"/>
      <c r="B20" s="21"/>
      <c r="C20" s="38"/>
      <c r="D20" s="39"/>
    </row>
    <row r="21" spans="1:77" s="99" customFormat="1" outlineLevel="1">
      <c r="A21" s="100"/>
      <c r="B21" s="100"/>
      <c r="C21" s="101"/>
      <c r="D21" s="102"/>
      <c r="E21" s="99" t="str">
        <f xml:space="preserve"> InpC!E$17</f>
        <v>First modelling column financial year number</v>
      </c>
      <c r="F21" s="108">
        <f xml:space="preserve"> InpC!F$17</f>
        <v>2009</v>
      </c>
      <c r="G21" s="99" t="str">
        <f xml:space="preserve"> InpC!G$17</f>
        <v>year #</v>
      </c>
    </row>
    <row r="22" spans="1:77" s="99" customFormat="1" outlineLevel="1">
      <c r="A22" s="100"/>
      <c r="B22" s="100"/>
      <c r="C22" s="101"/>
      <c r="D22" s="102"/>
      <c r="E22" s="99" t="str">
        <f xml:space="preserve"> InpC!E$18</f>
        <v>Financial year end month number</v>
      </c>
      <c r="F22" s="103">
        <f xml:space="preserve"> InpC!F$18</f>
        <v>12</v>
      </c>
      <c r="G22" s="99" t="str">
        <f xml:space="preserve"> InpC!G$18</f>
        <v>month #</v>
      </c>
    </row>
    <row r="23" spans="1:77" s="37" customFormat="1" outlineLevel="1">
      <c r="A23" s="21"/>
      <c r="B23" s="21"/>
      <c r="C23" s="38"/>
      <c r="D23" s="39"/>
      <c r="E23" s="37" t="str">
        <f xml:space="preserve"> E$19</f>
        <v xml:space="preserve">Model period ending </v>
      </c>
      <c r="F23" s="37">
        <f t="shared" ref="F23:BQ23" si="13" xml:space="preserve"> F$19</f>
        <v>0</v>
      </c>
      <c r="G23" s="37" t="str">
        <f t="shared" si="13"/>
        <v>date</v>
      </c>
      <c r="H23" s="37">
        <f t="shared" si="13"/>
        <v>0</v>
      </c>
      <c r="I23" s="37">
        <f t="shared" si="13"/>
        <v>0</v>
      </c>
      <c r="J23" s="37">
        <f t="shared" si="13"/>
        <v>40178</v>
      </c>
      <c r="K23" s="37">
        <f t="shared" si="13"/>
        <v>40543</v>
      </c>
      <c r="L23" s="37">
        <f t="shared" si="13"/>
        <v>40908</v>
      </c>
      <c r="M23" s="37">
        <f t="shared" si="13"/>
        <v>41274</v>
      </c>
      <c r="N23" s="37">
        <f t="shared" si="13"/>
        <v>41639</v>
      </c>
      <c r="O23" s="37">
        <f t="shared" si="13"/>
        <v>42004</v>
      </c>
      <c r="P23" s="37">
        <f t="shared" si="13"/>
        <v>42369</v>
      </c>
      <c r="Q23" s="37">
        <f t="shared" si="13"/>
        <v>42735</v>
      </c>
      <c r="R23" s="37">
        <f t="shared" si="13"/>
        <v>43100</v>
      </c>
      <c r="S23" s="37">
        <f t="shared" si="13"/>
        <v>43465</v>
      </c>
      <c r="T23" s="37">
        <f t="shared" si="13"/>
        <v>43830</v>
      </c>
      <c r="U23" s="37">
        <f t="shared" si="13"/>
        <v>44196</v>
      </c>
      <c r="V23" s="37">
        <f t="shared" si="13"/>
        <v>44561</v>
      </c>
      <c r="W23" s="37">
        <f t="shared" si="13"/>
        <v>44926</v>
      </c>
      <c r="X23" s="37">
        <f t="shared" si="13"/>
        <v>45291</v>
      </c>
      <c r="Y23" s="37">
        <f t="shared" si="13"/>
        <v>45657</v>
      </c>
      <c r="Z23" s="37">
        <f t="shared" si="13"/>
        <v>46022</v>
      </c>
      <c r="AA23" s="37">
        <f t="shared" si="13"/>
        <v>46387</v>
      </c>
      <c r="AB23" s="37">
        <f t="shared" si="13"/>
        <v>46752</v>
      </c>
      <c r="AC23" s="37">
        <f t="shared" si="13"/>
        <v>47118</v>
      </c>
      <c r="AD23" s="37">
        <f t="shared" si="13"/>
        <v>47483</v>
      </c>
      <c r="AE23" s="37">
        <f t="shared" si="13"/>
        <v>47848</v>
      </c>
      <c r="AF23" s="37">
        <f t="shared" si="13"/>
        <v>48213</v>
      </c>
      <c r="AG23" s="37">
        <f t="shared" si="13"/>
        <v>48579</v>
      </c>
      <c r="AH23" s="37">
        <f t="shared" si="13"/>
        <v>48944</v>
      </c>
      <c r="AI23" s="37">
        <f t="shared" si="13"/>
        <v>49309</v>
      </c>
      <c r="AJ23" s="37">
        <f t="shared" si="13"/>
        <v>49674</v>
      </c>
      <c r="AK23" s="37">
        <f t="shared" si="13"/>
        <v>50040</v>
      </c>
      <c r="AL23" s="37">
        <f t="shared" si="13"/>
        <v>50405</v>
      </c>
      <c r="AM23" s="37">
        <f t="shared" si="13"/>
        <v>50770</v>
      </c>
      <c r="AN23" s="37">
        <f t="shared" si="13"/>
        <v>51135</v>
      </c>
      <c r="AO23" s="37">
        <f t="shared" si="13"/>
        <v>51501</v>
      </c>
      <c r="AP23" s="37">
        <f t="shared" si="13"/>
        <v>51866</v>
      </c>
      <c r="AQ23" s="37">
        <f t="shared" si="13"/>
        <v>52231</v>
      </c>
      <c r="AR23" s="37">
        <f t="shared" si="13"/>
        <v>52596</v>
      </c>
      <c r="AS23" s="37">
        <f t="shared" si="13"/>
        <v>52962</v>
      </c>
      <c r="AT23" s="37">
        <f t="shared" si="13"/>
        <v>53327</v>
      </c>
      <c r="AU23" s="37">
        <f t="shared" si="13"/>
        <v>53692</v>
      </c>
      <c r="AV23" s="37">
        <f t="shared" si="13"/>
        <v>54057</v>
      </c>
      <c r="AW23" s="37">
        <f t="shared" si="13"/>
        <v>54423</v>
      </c>
      <c r="AX23" s="37">
        <f t="shared" si="13"/>
        <v>54788</v>
      </c>
      <c r="AY23" s="37">
        <f t="shared" si="13"/>
        <v>55153</v>
      </c>
      <c r="AZ23" s="37">
        <f t="shared" si="13"/>
        <v>55518</v>
      </c>
      <c r="BA23" s="37">
        <f t="shared" si="13"/>
        <v>55884</v>
      </c>
      <c r="BB23" s="37">
        <f t="shared" si="13"/>
        <v>56249</v>
      </c>
      <c r="BC23" s="37">
        <f t="shared" si="13"/>
        <v>56614</v>
      </c>
      <c r="BD23" s="37">
        <f t="shared" si="13"/>
        <v>56979</v>
      </c>
      <c r="BE23" s="37">
        <f t="shared" si="13"/>
        <v>57345</v>
      </c>
      <c r="BF23" s="37">
        <f t="shared" si="13"/>
        <v>57710</v>
      </c>
      <c r="BG23" s="37">
        <f t="shared" si="13"/>
        <v>58075</v>
      </c>
      <c r="BH23" s="37">
        <f t="shared" si="13"/>
        <v>58440</v>
      </c>
      <c r="BI23" s="37">
        <f t="shared" si="13"/>
        <v>58806</v>
      </c>
      <c r="BJ23" s="37">
        <f t="shared" si="13"/>
        <v>59171</v>
      </c>
      <c r="BK23" s="37">
        <f t="shared" si="13"/>
        <v>59536</v>
      </c>
      <c r="BL23" s="37">
        <f t="shared" si="13"/>
        <v>59901</v>
      </c>
      <c r="BM23" s="37">
        <f t="shared" si="13"/>
        <v>60267</v>
      </c>
      <c r="BN23" s="37">
        <f t="shared" si="13"/>
        <v>60632</v>
      </c>
      <c r="BO23" s="37">
        <f t="shared" si="13"/>
        <v>60997</v>
      </c>
      <c r="BP23" s="37">
        <f t="shared" si="13"/>
        <v>61362</v>
      </c>
      <c r="BQ23" s="37">
        <f t="shared" si="13"/>
        <v>61728</v>
      </c>
      <c r="BR23" s="37">
        <f t="shared" ref="BR23:BY23" si="14" xml:space="preserve"> BR$19</f>
        <v>62093</v>
      </c>
      <c r="BS23" s="37">
        <f t="shared" si="14"/>
        <v>62458</v>
      </c>
      <c r="BT23" s="37">
        <f t="shared" si="14"/>
        <v>62823</v>
      </c>
      <c r="BU23" s="37">
        <f t="shared" si="14"/>
        <v>63189</v>
      </c>
      <c r="BV23" s="37">
        <f t="shared" si="14"/>
        <v>63554</v>
      </c>
      <c r="BW23" s="37">
        <f t="shared" si="14"/>
        <v>63919</v>
      </c>
      <c r="BX23" s="37">
        <f t="shared" si="14"/>
        <v>64284</v>
      </c>
      <c r="BY23" s="37">
        <f t="shared" si="14"/>
        <v>64650</v>
      </c>
    </row>
    <row r="24" spans="1:77" s="78" customFormat="1" outlineLevel="1">
      <c r="A24" s="4"/>
      <c r="B24" s="4"/>
      <c r="C24" s="76"/>
      <c r="D24" s="77"/>
      <c r="E24" s="78" t="str">
        <f xml:space="preserve"> E$10</f>
        <v>First model column flag</v>
      </c>
      <c r="F24" s="78">
        <f t="shared" ref="F24:BQ24" si="15" xml:space="preserve"> F$10</f>
        <v>0</v>
      </c>
      <c r="G24" s="78" t="str">
        <f t="shared" si="15"/>
        <v>flag</v>
      </c>
      <c r="H24" s="78">
        <f t="shared" si="15"/>
        <v>1</v>
      </c>
      <c r="I24" s="78">
        <f t="shared" si="15"/>
        <v>0</v>
      </c>
      <c r="J24" s="78">
        <f t="shared" si="15"/>
        <v>1</v>
      </c>
      <c r="K24" s="78">
        <f t="shared" si="15"/>
        <v>0</v>
      </c>
      <c r="L24" s="78">
        <f t="shared" si="15"/>
        <v>0</v>
      </c>
      <c r="M24" s="78">
        <f t="shared" si="15"/>
        <v>0</v>
      </c>
      <c r="N24" s="78">
        <f t="shared" si="15"/>
        <v>0</v>
      </c>
      <c r="O24" s="78">
        <f t="shared" si="15"/>
        <v>0</v>
      </c>
      <c r="P24" s="78">
        <f t="shared" si="15"/>
        <v>0</v>
      </c>
      <c r="Q24" s="78">
        <f t="shared" si="15"/>
        <v>0</v>
      </c>
      <c r="R24" s="78">
        <f t="shared" si="15"/>
        <v>0</v>
      </c>
      <c r="S24" s="78">
        <f t="shared" si="15"/>
        <v>0</v>
      </c>
      <c r="T24" s="78">
        <f t="shared" si="15"/>
        <v>0</v>
      </c>
      <c r="U24" s="78">
        <f t="shared" si="15"/>
        <v>0</v>
      </c>
      <c r="V24" s="78">
        <f t="shared" si="15"/>
        <v>0</v>
      </c>
      <c r="W24" s="78">
        <f t="shared" si="15"/>
        <v>0</v>
      </c>
      <c r="X24" s="78">
        <f t="shared" si="15"/>
        <v>0</v>
      </c>
      <c r="Y24" s="78">
        <f t="shared" si="15"/>
        <v>0</v>
      </c>
      <c r="Z24" s="78">
        <f t="shared" si="15"/>
        <v>0</v>
      </c>
      <c r="AA24" s="78">
        <f t="shared" si="15"/>
        <v>0</v>
      </c>
      <c r="AB24" s="78">
        <f t="shared" si="15"/>
        <v>0</v>
      </c>
      <c r="AC24" s="78">
        <f t="shared" si="15"/>
        <v>0</v>
      </c>
      <c r="AD24" s="78">
        <f t="shared" si="15"/>
        <v>0</v>
      </c>
      <c r="AE24" s="78">
        <f t="shared" si="15"/>
        <v>0</v>
      </c>
      <c r="AF24" s="78">
        <f t="shared" si="15"/>
        <v>0</v>
      </c>
      <c r="AG24" s="78">
        <f t="shared" si="15"/>
        <v>0</v>
      </c>
      <c r="AH24" s="78">
        <f t="shared" si="15"/>
        <v>0</v>
      </c>
      <c r="AI24" s="78">
        <f t="shared" si="15"/>
        <v>0</v>
      </c>
      <c r="AJ24" s="78">
        <f t="shared" si="15"/>
        <v>0</v>
      </c>
      <c r="AK24" s="78">
        <f t="shared" si="15"/>
        <v>0</v>
      </c>
      <c r="AL24" s="78">
        <f t="shared" si="15"/>
        <v>0</v>
      </c>
      <c r="AM24" s="78">
        <f t="shared" si="15"/>
        <v>0</v>
      </c>
      <c r="AN24" s="78">
        <f t="shared" si="15"/>
        <v>0</v>
      </c>
      <c r="AO24" s="78">
        <f t="shared" si="15"/>
        <v>0</v>
      </c>
      <c r="AP24" s="78">
        <f t="shared" si="15"/>
        <v>0</v>
      </c>
      <c r="AQ24" s="78">
        <f t="shared" si="15"/>
        <v>0</v>
      </c>
      <c r="AR24" s="78">
        <f t="shared" si="15"/>
        <v>0</v>
      </c>
      <c r="AS24" s="78">
        <f t="shared" si="15"/>
        <v>0</v>
      </c>
      <c r="AT24" s="78">
        <f t="shared" si="15"/>
        <v>0</v>
      </c>
      <c r="AU24" s="78">
        <f t="shared" si="15"/>
        <v>0</v>
      </c>
      <c r="AV24" s="78">
        <f t="shared" si="15"/>
        <v>0</v>
      </c>
      <c r="AW24" s="78">
        <f t="shared" si="15"/>
        <v>0</v>
      </c>
      <c r="AX24" s="78">
        <f t="shared" si="15"/>
        <v>0</v>
      </c>
      <c r="AY24" s="78">
        <f t="shared" si="15"/>
        <v>0</v>
      </c>
      <c r="AZ24" s="78">
        <f t="shared" si="15"/>
        <v>0</v>
      </c>
      <c r="BA24" s="78">
        <f t="shared" si="15"/>
        <v>0</v>
      </c>
      <c r="BB24" s="78">
        <f t="shared" si="15"/>
        <v>0</v>
      </c>
      <c r="BC24" s="78">
        <f t="shared" si="15"/>
        <v>0</v>
      </c>
      <c r="BD24" s="78">
        <f t="shared" si="15"/>
        <v>0</v>
      </c>
      <c r="BE24" s="78">
        <f t="shared" si="15"/>
        <v>0</v>
      </c>
      <c r="BF24" s="78">
        <f t="shared" si="15"/>
        <v>0</v>
      </c>
      <c r="BG24" s="78">
        <f t="shared" si="15"/>
        <v>0</v>
      </c>
      <c r="BH24" s="78">
        <f t="shared" si="15"/>
        <v>0</v>
      </c>
      <c r="BI24" s="78">
        <f t="shared" si="15"/>
        <v>0</v>
      </c>
      <c r="BJ24" s="78">
        <f t="shared" si="15"/>
        <v>0</v>
      </c>
      <c r="BK24" s="78">
        <f t="shared" si="15"/>
        <v>0</v>
      </c>
      <c r="BL24" s="78">
        <f t="shared" si="15"/>
        <v>0</v>
      </c>
      <c r="BM24" s="78">
        <f t="shared" si="15"/>
        <v>0</v>
      </c>
      <c r="BN24" s="78">
        <f t="shared" si="15"/>
        <v>0</v>
      </c>
      <c r="BO24" s="78">
        <f t="shared" si="15"/>
        <v>0</v>
      </c>
      <c r="BP24" s="78">
        <f t="shared" si="15"/>
        <v>0</v>
      </c>
      <c r="BQ24" s="78">
        <f t="shared" si="15"/>
        <v>0</v>
      </c>
      <c r="BR24" s="78">
        <f t="shared" ref="BR24:BY24" si="16" xml:space="preserve"> BR$10</f>
        <v>0</v>
      </c>
      <c r="BS24" s="78">
        <f t="shared" si="16"/>
        <v>0</v>
      </c>
      <c r="BT24" s="78">
        <f t="shared" si="16"/>
        <v>0</v>
      </c>
      <c r="BU24" s="78">
        <f t="shared" si="16"/>
        <v>0</v>
      </c>
      <c r="BV24" s="78">
        <f t="shared" si="16"/>
        <v>0</v>
      </c>
      <c r="BW24" s="78">
        <f t="shared" si="16"/>
        <v>0</v>
      </c>
      <c r="BX24" s="78">
        <f t="shared" si="16"/>
        <v>0</v>
      </c>
      <c r="BY24" s="78">
        <f t="shared" si="16"/>
        <v>0</v>
      </c>
    </row>
    <row r="25" spans="1:77" s="97" customFormat="1" outlineLevel="1">
      <c r="A25" s="91"/>
      <c r="B25" s="92"/>
      <c r="C25" s="93"/>
      <c r="D25" s="96"/>
      <c r="E25" s="7" t="s">
        <v>27</v>
      </c>
      <c r="G25" s="97" t="s">
        <v>28</v>
      </c>
      <c r="I25" s="98"/>
      <c r="J25" s="97">
        <f t="shared" ref="J25:BU25" si="17" xml:space="preserve"> IF(J24 = 1, $F21, IF(J23 &gt; (DATE(I25, $F22 + 1, 1) - 1), I25 + 1, I25))</f>
        <v>2009</v>
      </c>
      <c r="K25" s="97">
        <f xml:space="preserve"> IF(K24 = 1, $F21, IF(K23 &gt; (DATE(J25, $F22 + 1, 1) - 1), J25 + 1, J25))</f>
        <v>2010</v>
      </c>
      <c r="L25" s="97">
        <f t="shared" si="17"/>
        <v>2011</v>
      </c>
      <c r="M25" s="97">
        <f t="shared" si="17"/>
        <v>2012</v>
      </c>
      <c r="N25" s="97">
        <f t="shared" si="17"/>
        <v>2013</v>
      </c>
      <c r="O25" s="97">
        <f t="shared" si="17"/>
        <v>2014</v>
      </c>
      <c r="P25" s="97">
        <f t="shared" si="17"/>
        <v>2015</v>
      </c>
      <c r="Q25" s="97">
        <f t="shared" si="17"/>
        <v>2016</v>
      </c>
      <c r="R25" s="97">
        <f t="shared" si="17"/>
        <v>2017</v>
      </c>
      <c r="S25" s="97">
        <f t="shared" si="17"/>
        <v>2018</v>
      </c>
      <c r="T25" s="97">
        <f t="shared" si="17"/>
        <v>2019</v>
      </c>
      <c r="U25" s="97">
        <f t="shared" si="17"/>
        <v>2020</v>
      </c>
      <c r="V25" s="97">
        <f t="shared" si="17"/>
        <v>2021</v>
      </c>
      <c r="W25" s="97">
        <f t="shared" si="17"/>
        <v>2022</v>
      </c>
      <c r="X25" s="97">
        <f t="shared" si="17"/>
        <v>2023</v>
      </c>
      <c r="Y25" s="97">
        <f t="shared" si="17"/>
        <v>2024</v>
      </c>
      <c r="Z25" s="97">
        <f t="shared" si="17"/>
        <v>2025</v>
      </c>
      <c r="AA25" s="97">
        <f t="shared" si="17"/>
        <v>2026</v>
      </c>
      <c r="AB25" s="97">
        <f t="shared" si="17"/>
        <v>2027</v>
      </c>
      <c r="AC25" s="97">
        <f t="shared" si="17"/>
        <v>2028</v>
      </c>
      <c r="AD25" s="97">
        <f t="shared" si="17"/>
        <v>2029</v>
      </c>
      <c r="AE25" s="97">
        <f t="shared" si="17"/>
        <v>2030</v>
      </c>
      <c r="AF25" s="97">
        <f t="shared" si="17"/>
        <v>2031</v>
      </c>
      <c r="AG25" s="97">
        <f t="shared" si="17"/>
        <v>2032</v>
      </c>
      <c r="AH25" s="97">
        <f t="shared" si="17"/>
        <v>2033</v>
      </c>
      <c r="AI25" s="97">
        <f t="shared" si="17"/>
        <v>2034</v>
      </c>
      <c r="AJ25" s="97">
        <f t="shared" si="17"/>
        <v>2035</v>
      </c>
      <c r="AK25" s="97">
        <f t="shared" si="17"/>
        <v>2036</v>
      </c>
      <c r="AL25" s="97">
        <f t="shared" si="17"/>
        <v>2037</v>
      </c>
      <c r="AM25" s="97">
        <f t="shared" si="17"/>
        <v>2038</v>
      </c>
      <c r="AN25" s="97">
        <f t="shared" si="17"/>
        <v>2039</v>
      </c>
      <c r="AO25" s="97">
        <f t="shared" si="17"/>
        <v>2040</v>
      </c>
      <c r="AP25" s="97">
        <f t="shared" si="17"/>
        <v>2041</v>
      </c>
      <c r="AQ25" s="97">
        <f t="shared" si="17"/>
        <v>2042</v>
      </c>
      <c r="AR25" s="97">
        <f t="shared" si="17"/>
        <v>2043</v>
      </c>
      <c r="AS25" s="97">
        <f t="shared" si="17"/>
        <v>2044</v>
      </c>
      <c r="AT25" s="97">
        <f t="shared" si="17"/>
        <v>2045</v>
      </c>
      <c r="AU25" s="97">
        <f t="shared" si="17"/>
        <v>2046</v>
      </c>
      <c r="AV25" s="97">
        <f t="shared" si="17"/>
        <v>2047</v>
      </c>
      <c r="AW25" s="97">
        <f t="shared" si="17"/>
        <v>2048</v>
      </c>
      <c r="AX25" s="97">
        <f t="shared" si="17"/>
        <v>2049</v>
      </c>
      <c r="AY25" s="97">
        <f t="shared" si="17"/>
        <v>2050</v>
      </c>
      <c r="AZ25" s="97">
        <f t="shared" si="17"/>
        <v>2051</v>
      </c>
      <c r="BA25" s="97">
        <f t="shared" si="17"/>
        <v>2052</v>
      </c>
      <c r="BB25" s="97">
        <f t="shared" si="17"/>
        <v>2053</v>
      </c>
      <c r="BC25" s="97">
        <f t="shared" si="17"/>
        <v>2054</v>
      </c>
      <c r="BD25" s="97">
        <f t="shared" si="17"/>
        <v>2055</v>
      </c>
      <c r="BE25" s="97">
        <f t="shared" si="17"/>
        <v>2056</v>
      </c>
      <c r="BF25" s="97">
        <f t="shared" si="17"/>
        <v>2057</v>
      </c>
      <c r="BG25" s="97">
        <f t="shared" si="17"/>
        <v>2058</v>
      </c>
      <c r="BH25" s="97">
        <f t="shared" si="17"/>
        <v>2059</v>
      </c>
      <c r="BI25" s="97">
        <f t="shared" si="17"/>
        <v>2060</v>
      </c>
      <c r="BJ25" s="97">
        <f t="shared" si="17"/>
        <v>2061</v>
      </c>
      <c r="BK25" s="97">
        <f t="shared" si="17"/>
        <v>2062</v>
      </c>
      <c r="BL25" s="97">
        <f t="shared" si="17"/>
        <v>2063</v>
      </c>
      <c r="BM25" s="97">
        <f t="shared" si="17"/>
        <v>2064</v>
      </c>
      <c r="BN25" s="97">
        <f t="shared" si="17"/>
        <v>2065</v>
      </c>
      <c r="BO25" s="97">
        <f t="shared" si="17"/>
        <v>2066</v>
      </c>
      <c r="BP25" s="97">
        <f t="shared" si="17"/>
        <v>2067</v>
      </c>
      <c r="BQ25" s="97">
        <f t="shared" si="17"/>
        <v>2068</v>
      </c>
      <c r="BR25" s="97">
        <f t="shared" si="17"/>
        <v>2069</v>
      </c>
      <c r="BS25" s="97">
        <f t="shared" si="17"/>
        <v>2070</v>
      </c>
      <c r="BT25" s="97">
        <f t="shared" si="17"/>
        <v>2071</v>
      </c>
      <c r="BU25" s="97">
        <f t="shared" si="17"/>
        <v>2072</v>
      </c>
      <c r="BV25" s="97">
        <f xml:space="preserve"> IF(BV24 = 1, $F21, IF(BV23 &gt; (DATE(BU25, $F22 + 1, 1) - 1), BU25 + 1, BU25))</f>
        <v>2073</v>
      </c>
      <c r="BW25" s="97">
        <f xml:space="preserve"> IF(BW24 = 1, $F21, IF(BW23 &gt; (DATE(BV25, $F22 + 1, 1) - 1), BV25 + 1, BV25))</f>
        <v>2074</v>
      </c>
      <c r="BX25" s="97">
        <f xml:space="preserve"> IF(BX24 = 1, $F21, IF(BX23 &gt; (DATE(BW25, $F22 + 1, 1) - 1), BW25 + 1, BW25))</f>
        <v>2075</v>
      </c>
      <c r="BY25" s="97">
        <f xml:space="preserve"> IF(BY24 = 1, $F21, IF(BY23 &gt; (DATE(BX25, $F22 + 1, 1) - 1), BX25 + 1, BX25))</f>
        <v>2076</v>
      </c>
    </row>
    <row r="26" spans="1:77" s="37" customFormat="1" outlineLevel="1">
      <c r="A26" s="21"/>
      <c r="B26" s="21"/>
      <c r="C26" s="38"/>
      <c r="D26" s="39"/>
    </row>
    <row r="27" spans="1:77" s="37" customFormat="1">
      <c r="A27" s="21"/>
      <c r="B27" s="21"/>
      <c r="C27" s="38"/>
      <c r="D27" s="39"/>
    </row>
    <row r="28" spans="1:77" s="37" customFormat="1">
      <c r="A28" s="21" t="s">
        <v>11</v>
      </c>
      <c r="B28" s="21"/>
      <c r="C28" s="38"/>
      <c r="D28" s="39"/>
    </row>
    <row r="29" spans="1:77" s="37" customFormat="1">
      <c r="A29" s="21"/>
      <c r="B29" s="21"/>
      <c r="C29" s="38"/>
      <c r="D29" s="39"/>
    </row>
    <row r="30" spans="1:77" s="37" customFormat="1">
      <c r="A30" s="21"/>
      <c r="B30" s="21" t="s">
        <v>4</v>
      </c>
      <c r="C30" s="38"/>
      <c r="D30" s="39"/>
    </row>
    <row r="31" spans="1:77" s="73" customFormat="1">
      <c r="A31" s="100"/>
      <c r="B31" s="70"/>
      <c r="C31" s="71"/>
      <c r="D31" s="72"/>
      <c r="E31" s="73" t="str">
        <f>InpC!E$13</f>
        <v>Opening balance sheet date</v>
      </c>
      <c r="F31" s="120">
        <f>InpC!F$13</f>
        <v>42004</v>
      </c>
      <c r="G31" s="73" t="str">
        <f>InpC!G$13</f>
        <v>date</v>
      </c>
    </row>
    <row r="32" spans="1:77" s="22" customFormat="1">
      <c r="A32" s="21"/>
      <c r="B32" s="20"/>
      <c r="C32" s="34"/>
      <c r="D32" s="25"/>
      <c r="E32" s="22" t="str">
        <f xml:space="preserve"> E$19</f>
        <v xml:space="preserve">Model period ending </v>
      </c>
      <c r="F32" s="22">
        <f t="shared" ref="F32:BQ32" si="18" xml:space="preserve"> F$19</f>
        <v>0</v>
      </c>
      <c r="G32" s="22" t="str">
        <f t="shared" si="18"/>
        <v>date</v>
      </c>
      <c r="H32" s="22">
        <f t="shared" si="18"/>
        <v>0</v>
      </c>
      <c r="I32" s="22">
        <f t="shared" si="18"/>
        <v>0</v>
      </c>
      <c r="J32" s="22">
        <f t="shared" si="18"/>
        <v>40178</v>
      </c>
      <c r="K32" s="22">
        <f t="shared" si="18"/>
        <v>40543</v>
      </c>
      <c r="L32" s="22">
        <f t="shared" si="18"/>
        <v>40908</v>
      </c>
      <c r="M32" s="22">
        <f t="shared" si="18"/>
        <v>41274</v>
      </c>
      <c r="N32" s="22">
        <f t="shared" si="18"/>
        <v>41639</v>
      </c>
      <c r="O32" s="22">
        <f t="shared" si="18"/>
        <v>42004</v>
      </c>
      <c r="P32" s="22">
        <f t="shared" si="18"/>
        <v>42369</v>
      </c>
      <c r="Q32" s="22">
        <f t="shared" si="18"/>
        <v>42735</v>
      </c>
      <c r="R32" s="22">
        <f t="shared" si="18"/>
        <v>43100</v>
      </c>
      <c r="S32" s="22">
        <f t="shared" si="18"/>
        <v>43465</v>
      </c>
      <c r="T32" s="22">
        <f t="shared" si="18"/>
        <v>43830</v>
      </c>
      <c r="U32" s="22">
        <f t="shared" si="18"/>
        <v>44196</v>
      </c>
      <c r="V32" s="22">
        <f t="shared" si="18"/>
        <v>44561</v>
      </c>
      <c r="W32" s="22">
        <f t="shared" si="18"/>
        <v>44926</v>
      </c>
      <c r="X32" s="22">
        <f t="shared" si="18"/>
        <v>45291</v>
      </c>
      <c r="Y32" s="22">
        <f t="shared" si="18"/>
        <v>45657</v>
      </c>
      <c r="Z32" s="22">
        <f t="shared" si="18"/>
        <v>46022</v>
      </c>
      <c r="AA32" s="22">
        <f t="shared" si="18"/>
        <v>46387</v>
      </c>
      <c r="AB32" s="22">
        <f t="shared" si="18"/>
        <v>46752</v>
      </c>
      <c r="AC32" s="22">
        <f t="shared" si="18"/>
        <v>47118</v>
      </c>
      <c r="AD32" s="22">
        <f t="shared" si="18"/>
        <v>47483</v>
      </c>
      <c r="AE32" s="22">
        <f t="shared" si="18"/>
        <v>47848</v>
      </c>
      <c r="AF32" s="22">
        <f t="shared" si="18"/>
        <v>48213</v>
      </c>
      <c r="AG32" s="22">
        <f t="shared" si="18"/>
        <v>48579</v>
      </c>
      <c r="AH32" s="22">
        <f t="shared" si="18"/>
        <v>48944</v>
      </c>
      <c r="AI32" s="22">
        <f t="shared" si="18"/>
        <v>49309</v>
      </c>
      <c r="AJ32" s="22">
        <f t="shared" si="18"/>
        <v>49674</v>
      </c>
      <c r="AK32" s="22">
        <f t="shared" si="18"/>
        <v>50040</v>
      </c>
      <c r="AL32" s="22">
        <f t="shared" si="18"/>
        <v>50405</v>
      </c>
      <c r="AM32" s="22">
        <f t="shared" si="18"/>
        <v>50770</v>
      </c>
      <c r="AN32" s="22">
        <f t="shared" si="18"/>
        <v>51135</v>
      </c>
      <c r="AO32" s="22">
        <f t="shared" si="18"/>
        <v>51501</v>
      </c>
      <c r="AP32" s="22">
        <f t="shared" si="18"/>
        <v>51866</v>
      </c>
      <c r="AQ32" s="22">
        <f t="shared" si="18"/>
        <v>52231</v>
      </c>
      <c r="AR32" s="22">
        <f t="shared" si="18"/>
        <v>52596</v>
      </c>
      <c r="AS32" s="22">
        <f t="shared" si="18"/>
        <v>52962</v>
      </c>
      <c r="AT32" s="22">
        <f t="shared" si="18"/>
        <v>53327</v>
      </c>
      <c r="AU32" s="22">
        <f t="shared" si="18"/>
        <v>53692</v>
      </c>
      <c r="AV32" s="22">
        <f t="shared" si="18"/>
        <v>54057</v>
      </c>
      <c r="AW32" s="22">
        <f t="shared" si="18"/>
        <v>54423</v>
      </c>
      <c r="AX32" s="22">
        <f t="shared" si="18"/>
        <v>54788</v>
      </c>
      <c r="AY32" s="22">
        <f t="shared" si="18"/>
        <v>55153</v>
      </c>
      <c r="AZ32" s="22">
        <f t="shared" si="18"/>
        <v>55518</v>
      </c>
      <c r="BA32" s="22">
        <f t="shared" si="18"/>
        <v>55884</v>
      </c>
      <c r="BB32" s="22">
        <f t="shared" si="18"/>
        <v>56249</v>
      </c>
      <c r="BC32" s="22">
        <f t="shared" si="18"/>
        <v>56614</v>
      </c>
      <c r="BD32" s="22">
        <f t="shared" si="18"/>
        <v>56979</v>
      </c>
      <c r="BE32" s="22">
        <f t="shared" si="18"/>
        <v>57345</v>
      </c>
      <c r="BF32" s="22">
        <f t="shared" si="18"/>
        <v>57710</v>
      </c>
      <c r="BG32" s="22">
        <f t="shared" si="18"/>
        <v>58075</v>
      </c>
      <c r="BH32" s="22">
        <f t="shared" si="18"/>
        <v>58440</v>
      </c>
      <c r="BI32" s="22">
        <f t="shared" si="18"/>
        <v>58806</v>
      </c>
      <c r="BJ32" s="22">
        <f t="shared" si="18"/>
        <v>59171</v>
      </c>
      <c r="BK32" s="22">
        <f t="shared" si="18"/>
        <v>59536</v>
      </c>
      <c r="BL32" s="22">
        <f t="shared" si="18"/>
        <v>59901</v>
      </c>
      <c r="BM32" s="22">
        <f t="shared" si="18"/>
        <v>60267</v>
      </c>
      <c r="BN32" s="22">
        <f t="shared" si="18"/>
        <v>60632</v>
      </c>
      <c r="BO32" s="22">
        <f t="shared" si="18"/>
        <v>60997</v>
      </c>
      <c r="BP32" s="22">
        <f t="shared" si="18"/>
        <v>61362</v>
      </c>
      <c r="BQ32" s="22">
        <f t="shared" si="18"/>
        <v>61728</v>
      </c>
      <c r="BR32" s="22">
        <f t="shared" ref="BR32:BY32" si="19" xml:space="preserve"> BR$19</f>
        <v>62093</v>
      </c>
      <c r="BS32" s="22">
        <f t="shared" si="19"/>
        <v>62458</v>
      </c>
      <c r="BT32" s="22">
        <f t="shared" si="19"/>
        <v>62823</v>
      </c>
      <c r="BU32" s="22">
        <f t="shared" si="19"/>
        <v>63189</v>
      </c>
      <c r="BV32" s="22">
        <f t="shared" si="19"/>
        <v>63554</v>
      </c>
      <c r="BW32" s="22">
        <f t="shared" si="19"/>
        <v>63919</v>
      </c>
      <c r="BX32" s="22">
        <f t="shared" si="19"/>
        <v>64284</v>
      </c>
      <c r="BY32" s="22">
        <f t="shared" si="19"/>
        <v>64650</v>
      </c>
    </row>
    <row r="33" spans="1:77" s="44" customFormat="1">
      <c r="A33" s="129"/>
      <c r="B33" s="41"/>
      <c r="C33" s="42"/>
      <c r="D33" s="43"/>
      <c r="E33" s="44" t="s">
        <v>4</v>
      </c>
      <c r="G33" s="44" t="s">
        <v>16</v>
      </c>
      <c r="H33" s="44">
        <f>SUM(J33:BY33)</f>
        <v>1</v>
      </c>
      <c r="J33" s="44">
        <f t="shared" ref="J33:AO33" si="20" xml:space="preserve"> IF(J32 = $F31, 1, 0)</f>
        <v>0</v>
      </c>
      <c r="K33" s="44">
        <f t="shared" si="20"/>
        <v>0</v>
      </c>
      <c r="L33" s="44">
        <f xml:space="preserve"> IF(L32 = $F31, 1, 0)</f>
        <v>0</v>
      </c>
      <c r="M33" s="44">
        <f t="shared" si="20"/>
        <v>0</v>
      </c>
      <c r="N33" s="44">
        <f t="shared" si="20"/>
        <v>0</v>
      </c>
      <c r="O33" s="44">
        <f t="shared" si="20"/>
        <v>1</v>
      </c>
      <c r="P33" s="44">
        <f t="shared" si="20"/>
        <v>0</v>
      </c>
      <c r="Q33" s="44">
        <f t="shared" si="20"/>
        <v>0</v>
      </c>
      <c r="R33" s="44">
        <f t="shared" si="20"/>
        <v>0</v>
      </c>
      <c r="S33" s="44">
        <f t="shared" si="20"/>
        <v>0</v>
      </c>
      <c r="T33" s="44">
        <f t="shared" si="20"/>
        <v>0</v>
      </c>
      <c r="U33" s="44">
        <f t="shared" si="20"/>
        <v>0</v>
      </c>
      <c r="V33" s="44">
        <f t="shared" si="20"/>
        <v>0</v>
      </c>
      <c r="W33" s="44">
        <f t="shared" si="20"/>
        <v>0</v>
      </c>
      <c r="X33" s="44">
        <f t="shared" si="20"/>
        <v>0</v>
      </c>
      <c r="Y33" s="44">
        <f t="shared" si="20"/>
        <v>0</v>
      </c>
      <c r="Z33" s="44">
        <f t="shared" si="20"/>
        <v>0</v>
      </c>
      <c r="AA33" s="44">
        <f t="shared" si="20"/>
        <v>0</v>
      </c>
      <c r="AB33" s="44">
        <f t="shared" si="20"/>
        <v>0</v>
      </c>
      <c r="AC33" s="44">
        <f t="shared" si="20"/>
        <v>0</v>
      </c>
      <c r="AD33" s="44">
        <f t="shared" si="20"/>
        <v>0</v>
      </c>
      <c r="AE33" s="44">
        <f t="shared" si="20"/>
        <v>0</v>
      </c>
      <c r="AF33" s="44">
        <f t="shared" si="20"/>
        <v>0</v>
      </c>
      <c r="AG33" s="44">
        <f t="shared" si="20"/>
        <v>0</v>
      </c>
      <c r="AH33" s="44">
        <f t="shared" si="20"/>
        <v>0</v>
      </c>
      <c r="AI33" s="44">
        <f t="shared" si="20"/>
        <v>0</v>
      </c>
      <c r="AJ33" s="44">
        <f t="shared" si="20"/>
        <v>0</v>
      </c>
      <c r="AK33" s="44">
        <f t="shared" si="20"/>
        <v>0</v>
      </c>
      <c r="AL33" s="44">
        <f t="shared" si="20"/>
        <v>0</v>
      </c>
      <c r="AM33" s="44">
        <f t="shared" si="20"/>
        <v>0</v>
      </c>
      <c r="AN33" s="44">
        <f t="shared" si="20"/>
        <v>0</v>
      </c>
      <c r="AO33" s="44">
        <f t="shared" si="20"/>
        <v>0</v>
      </c>
      <c r="AP33" s="44">
        <f t="shared" ref="AP33:BU33" si="21" xml:space="preserve"> IF(AP32 = $F31, 1, 0)</f>
        <v>0</v>
      </c>
      <c r="AQ33" s="44">
        <f t="shared" si="21"/>
        <v>0</v>
      </c>
      <c r="AR33" s="44">
        <f t="shared" si="21"/>
        <v>0</v>
      </c>
      <c r="AS33" s="44">
        <f t="shared" si="21"/>
        <v>0</v>
      </c>
      <c r="AT33" s="44">
        <f t="shared" si="21"/>
        <v>0</v>
      </c>
      <c r="AU33" s="44">
        <f t="shared" si="21"/>
        <v>0</v>
      </c>
      <c r="AV33" s="44">
        <f t="shared" si="21"/>
        <v>0</v>
      </c>
      <c r="AW33" s="44">
        <f t="shared" si="21"/>
        <v>0</v>
      </c>
      <c r="AX33" s="44">
        <f t="shared" si="21"/>
        <v>0</v>
      </c>
      <c r="AY33" s="44">
        <f t="shared" si="21"/>
        <v>0</v>
      </c>
      <c r="AZ33" s="44">
        <f t="shared" si="21"/>
        <v>0</v>
      </c>
      <c r="BA33" s="44">
        <f t="shared" si="21"/>
        <v>0</v>
      </c>
      <c r="BB33" s="44">
        <f t="shared" si="21"/>
        <v>0</v>
      </c>
      <c r="BC33" s="44">
        <f t="shared" si="21"/>
        <v>0</v>
      </c>
      <c r="BD33" s="44">
        <f t="shared" si="21"/>
        <v>0</v>
      </c>
      <c r="BE33" s="44">
        <f t="shared" si="21"/>
        <v>0</v>
      </c>
      <c r="BF33" s="44">
        <f t="shared" si="21"/>
        <v>0</v>
      </c>
      <c r="BG33" s="44">
        <f t="shared" si="21"/>
        <v>0</v>
      </c>
      <c r="BH33" s="44">
        <f t="shared" si="21"/>
        <v>0</v>
      </c>
      <c r="BI33" s="44">
        <f t="shared" si="21"/>
        <v>0</v>
      </c>
      <c r="BJ33" s="44">
        <f t="shared" si="21"/>
        <v>0</v>
      </c>
      <c r="BK33" s="44">
        <f t="shared" si="21"/>
        <v>0</v>
      </c>
      <c r="BL33" s="44">
        <f t="shared" si="21"/>
        <v>0</v>
      </c>
      <c r="BM33" s="44">
        <f t="shared" si="21"/>
        <v>0</v>
      </c>
      <c r="BN33" s="44">
        <f t="shared" si="21"/>
        <v>0</v>
      </c>
      <c r="BO33" s="44">
        <f t="shared" si="21"/>
        <v>0</v>
      </c>
      <c r="BP33" s="44">
        <f t="shared" si="21"/>
        <v>0</v>
      </c>
      <c r="BQ33" s="44">
        <f t="shared" si="21"/>
        <v>0</v>
      </c>
      <c r="BR33" s="44">
        <f t="shared" si="21"/>
        <v>0</v>
      </c>
      <c r="BS33" s="44">
        <f t="shared" si="21"/>
        <v>0</v>
      </c>
      <c r="BT33" s="44">
        <f t="shared" si="21"/>
        <v>0</v>
      </c>
      <c r="BU33" s="44">
        <f t="shared" si="21"/>
        <v>0</v>
      </c>
      <c r="BV33" s="44">
        <f xml:space="preserve"> IF(BV32 = $F31, 1, 0)</f>
        <v>0</v>
      </c>
      <c r="BW33" s="44">
        <f xml:space="preserve"> IF(BW32 = $F31, 1, 0)</f>
        <v>0</v>
      </c>
      <c r="BX33" s="44">
        <f xml:space="preserve"> IF(BX32 = $F31, 1, 0)</f>
        <v>0</v>
      </c>
      <c r="BY33" s="44">
        <f xml:space="preserve"> IF(BY32 = $F31, 1, 0)</f>
        <v>0</v>
      </c>
    </row>
    <row r="34" spans="1:77" s="12" customFormat="1">
      <c r="A34" s="4"/>
      <c r="B34" s="10"/>
      <c r="C34" s="5"/>
      <c r="D34" s="11"/>
    </row>
    <row r="35" spans="1:77" s="12" customFormat="1">
      <c r="A35" s="4"/>
      <c r="B35" s="10" t="s">
        <v>18</v>
      </c>
      <c r="C35" s="5"/>
      <c r="D35" s="11"/>
    </row>
    <row r="36" spans="1:77" s="107" customFormat="1">
      <c r="A36" s="24"/>
      <c r="B36" s="32"/>
      <c r="C36" s="29"/>
      <c r="D36" s="106"/>
      <c r="E36" s="74" t="str">
        <f xml:space="preserve"> InpC!E$14</f>
        <v>Forecast period start date</v>
      </c>
      <c r="F36" s="74">
        <f xml:space="preserve"> InpC!F$14</f>
        <v>42369</v>
      </c>
      <c r="G36" s="74" t="str">
        <f xml:space="preserve"> InpC!G$14</f>
        <v>date</v>
      </c>
    </row>
    <row r="37" spans="1:77" s="99" customFormat="1">
      <c r="A37" s="100"/>
      <c r="B37" s="100"/>
      <c r="C37" s="101"/>
      <c r="D37" s="102"/>
      <c r="E37" s="99" t="str">
        <f xml:space="preserve"> InpC!E$15</f>
        <v>Length of forecast period</v>
      </c>
      <c r="F37" s="103">
        <f xml:space="preserve"> InpC!F$15</f>
        <v>5</v>
      </c>
      <c r="G37" s="99" t="str">
        <f xml:space="preserve"> InpC!G$15</f>
        <v>years</v>
      </c>
    </row>
    <row r="38" spans="1:77" s="37" customFormat="1">
      <c r="A38" s="21"/>
      <c r="B38" s="21"/>
      <c r="C38" s="38"/>
      <c r="D38" s="39"/>
      <c r="E38" s="37" t="s">
        <v>7</v>
      </c>
      <c r="F38" s="31">
        <f xml:space="preserve"> DATE(YEAR(F36) + F37, MONTH(F36), DAY(F36))</f>
        <v>44196</v>
      </c>
      <c r="G38" s="37" t="s">
        <v>17</v>
      </c>
    </row>
    <row r="39" spans="1:77" s="37" customFormat="1">
      <c r="A39" s="21"/>
      <c r="B39" s="21"/>
      <c r="C39" s="38"/>
      <c r="D39" s="39"/>
    </row>
    <row r="40" spans="1:77" s="107" customFormat="1">
      <c r="A40" s="24"/>
      <c r="B40" s="32"/>
      <c r="C40" s="29"/>
      <c r="D40" s="106"/>
      <c r="E40" s="74" t="str">
        <f xml:space="preserve"> InpC!E$14</f>
        <v>Forecast period start date</v>
      </c>
      <c r="F40" s="74">
        <f xml:space="preserve"> InpC!F$14</f>
        <v>42369</v>
      </c>
      <c r="G40" s="74" t="str">
        <f xml:space="preserve"> InpC!G$14</f>
        <v>date</v>
      </c>
    </row>
    <row r="41" spans="1:77" s="105" customFormat="1">
      <c r="A41" s="24"/>
      <c r="B41" s="24"/>
      <c r="C41" s="28"/>
      <c r="D41" s="104"/>
      <c r="E41" s="105" t="str">
        <f xml:space="preserve"> E$38</f>
        <v>Last forecast date</v>
      </c>
      <c r="F41" s="105">
        <f xml:space="preserve"> F$38</f>
        <v>44196</v>
      </c>
      <c r="G41" s="105" t="str">
        <f xml:space="preserve"> G$38</f>
        <v>date</v>
      </c>
    </row>
    <row r="42" spans="1:77" s="22" customFormat="1">
      <c r="A42" s="21"/>
      <c r="B42" s="20"/>
      <c r="C42" s="34"/>
      <c r="D42" s="25"/>
      <c r="E42" s="22" t="str">
        <f xml:space="preserve"> E$19</f>
        <v xml:space="preserve">Model period ending </v>
      </c>
      <c r="F42" s="22">
        <f t="shared" ref="F42:BQ42" si="22" xml:space="preserve"> F$19</f>
        <v>0</v>
      </c>
      <c r="G42" s="22" t="str">
        <f t="shared" si="22"/>
        <v>date</v>
      </c>
      <c r="H42" s="22">
        <f t="shared" si="22"/>
        <v>0</v>
      </c>
      <c r="I42" s="22">
        <f t="shared" si="22"/>
        <v>0</v>
      </c>
      <c r="J42" s="22">
        <f t="shared" si="22"/>
        <v>40178</v>
      </c>
      <c r="K42" s="22">
        <f t="shared" si="22"/>
        <v>40543</v>
      </c>
      <c r="L42" s="22">
        <f t="shared" si="22"/>
        <v>40908</v>
      </c>
      <c r="M42" s="22">
        <f t="shared" si="22"/>
        <v>41274</v>
      </c>
      <c r="N42" s="22">
        <f t="shared" si="22"/>
        <v>41639</v>
      </c>
      <c r="O42" s="22">
        <f t="shared" si="22"/>
        <v>42004</v>
      </c>
      <c r="P42" s="22">
        <f t="shared" si="22"/>
        <v>42369</v>
      </c>
      <c r="Q42" s="22">
        <f t="shared" si="22"/>
        <v>42735</v>
      </c>
      <c r="R42" s="22">
        <f t="shared" si="22"/>
        <v>43100</v>
      </c>
      <c r="S42" s="22">
        <f t="shared" si="22"/>
        <v>43465</v>
      </c>
      <c r="T42" s="22">
        <f t="shared" si="22"/>
        <v>43830</v>
      </c>
      <c r="U42" s="22">
        <f t="shared" si="22"/>
        <v>44196</v>
      </c>
      <c r="V42" s="22">
        <f t="shared" si="22"/>
        <v>44561</v>
      </c>
      <c r="W42" s="22">
        <f t="shared" si="22"/>
        <v>44926</v>
      </c>
      <c r="X42" s="22">
        <f t="shared" si="22"/>
        <v>45291</v>
      </c>
      <c r="Y42" s="22">
        <f t="shared" si="22"/>
        <v>45657</v>
      </c>
      <c r="Z42" s="22">
        <f t="shared" si="22"/>
        <v>46022</v>
      </c>
      <c r="AA42" s="22">
        <f t="shared" si="22"/>
        <v>46387</v>
      </c>
      <c r="AB42" s="22">
        <f t="shared" si="22"/>
        <v>46752</v>
      </c>
      <c r="AC42" s="22">
        <f t="shared" si="22"/>
        <v>47118</v>
      </c>
      <c r="AD42" s="22">
        <f t="shared" si="22"/>
        <v>47483</v>
      </c>
      <c r="AE42" s="22">
        <f t="shared" si="22"/>
        <v>47848</v>
      </c>
      <c r="AF42" s="22">
        <f t="shared" si="22"/>
        <v>48213</v>
      </c>
      <c r="AG42" s="22">
        <f t="shared" si="22"/>
        <v>48579</v>
      </c>
      <c r="AH42" s="22">
        <f t="shared" si="22"/>
        <v>48944</v>
      </c>
      <c r="AI42" s="22">
        <f t="shared" si="22"/>
        <v>49309</v>
      </c>
      <c r="AJ42" s="22">
        <f t="shared" si="22"/>
        <v>49674</v>
      </c>
      <c r="AK42" s="22">
        <f t="shared" si="22"/>
        <v>50040</v>
      </c>
      <c r="AL42" s="22">
        <f t="shared" si="22"/>
        <v>50405</v>
      </c>
      <c r="AM42" s="22">
        <f t="shared" si="22"/>
        <v>50770</v>
      </c>
      <c r="AN42" s="22">
        <f t="shared" si="22"/>
        <v>51135</v>
      </c>
      <c r="AO42" s="22">
        <f t="shared" si="22"/>
        <v>51501</v>
      </c>
      <c r="AP42" s="22">
        <f t="shared" si="22"/>
        <v>51866</v>
      </c>
      <c r="AQ42" s="22">
        <f t="shared" si="22"/>
        <v>52231</v>
      </c>
      <c r="AR42" s="22">
        <f t="shared" si="22"/>
        <v>52596</v>
      </c>
      <c r="AS42" s="22">
        <f t="shared" si="22"/>
        <v>52962</v>
      </c>
      <c r="AT42" s="22">
        <f t="shared" si="22"/>
        <v>53327</v>
      </c>
      <c r="AU42" s="22">
        <f t="shared" si="22"/>
        <v>53692</v>
      </c>
      <c r="AV42" s="22">
        <f t="shared" si="22"/>
        <v>54057</v>
      </c>
      <c r="AW42" s="22">
        <f t="shared" si="22"/>
        <v>54423</v>
      </c>
      <c r="AX42" s="22">
        <f t="shared" si="22"/>
        <v>54788</v>
      </c>
      <c r="AY42" s="22">
        <f t="shared" si="22"/>
        <v>55153</v>
      </c>
      <c r="AZ42" s="22">
        <f t="shared" si="22"/>
        <v>55518</v>
      </c>
      <c r="BA42" s="22">
        <f t="shared" si="22"/>
        <v>55884</v>
      </c>
      <c r="BB42" s="22">
        <f t="shared" si="22"/>
        <v>56249</v>
      </c>
      <c r="BC42" s="22">
        <f t="shared" si="22"/>
        <v>56614</v>
      </c>
      <c r="BD42" s="22">
        <f t="shared" si="22"/>
        <v>56979</v>
      </c>
      <c r="BE42" s="22">
        <f t="shared" si="22"/>
        <v>57345</v>
      </c>
      <c r="BF42" s="22">
        <f t="shared" si="22"/>
        <v>57710</v>
      </c>
      <c r="BG42" s="22">
        <f t="shared" si="22"/>
        <v>58075</v>
      </c>
      <c r="BH42" s="22">
        <f t="shared" si="22"/>
        <v>58440</v>
      </c>
      <c r="BI42" s="22">
        <f t="shared" si="22"/>
        <v>58806</v>
      </c>
      <c r="BJ42" s="22">
        <f t="shared" si="22"/>
        <v>59171</v>
      </c>
      <c r="BK42" s="22">
        <f t="shared" si="22"/>
        <v>59536</v>
      </c>
      <c r="BL42" s="22">
        <f t="shared" si="22"/>
        <v>59901</v>
      </c>
      <c r="BM42" s="22">
        <f t="shared" si="22"/>
        <v>60267</v>
      </c>
      <c r="BN42" s="22">
        <f t="shared" si="22"/>
        <v>60632</v>
      </c>
      <c r="BO42" s="22">
        <f t="shared" si="22"/>
        <v>60997</v>
      </c>
      <c r="BP42" s="22">
        <f t="shared" si="22"/>
        <v>61362</v>
      </c>
      <c r="BQ42" s="22">
        <f t="shared" si="22"/>
        <v>61728</v>
      </c>
      <c r="BR42" s="22">
        <f t="shared" ref="BR42:BY42" si="23" xml:space="preserve"> BR$19</f>
        <v>62093</v>
      </c>
      <c r="BS42" s="22">
        <f t="shared" si="23"/>
        <v>62458</v>
      </c>
      <c r="BT42" s="22">
        <f t="shared" si="23"/>
        <v>62823</v>
      </c>
      <c r="BU42" s="22">
        <f t="shared" si="23"/>
        <v>63189</v>
      </c>
      <c r="BV42" s="22">
        <f t="shared" si="23"/>
        <v>63554</v>
      </c>
      <c r="BW42" s="22">
        <f t="shared" si="23"/>
        <v>63919</v>
      </c>
      <c r="BX42" s="22">
        <f t="shared" si="23"/>
        <v>64284</v>
      </c>
      <c r="BY42" s="22">
        <f t="shared" si="23"/>
        <v>64650</v>
      </c>
    </row>
    <row r="43" spans="1:77" s="44" customFormat="1">
      <c r="A43" s="129"/>
      <c r="B43" s="41"/>
      <c r="C43" s="42"/>
      <c r="D43" s="43"/>
      <c r="E43" s="44" t="s">
        <v>18</v>
      </c>
      <c r="G43" s="44" t="s">
        <v>16</v>
      </c>
      <c r="H43" s="44">
        <f>SUM(J43:BY43)</f>
        <v>6</v>
      </c>
      <c r="J43" s="44">
        <f xml:space="preserve"> IF(AND(J42 &gt;= $F40, J42 &lt;=$F41), 1, 0)</f>
        <v>0</v>
      </c>
      <c r="K43" s="44">
        <f t="shared" ref="K43:BV43" si="24" xml:space="preserve"> IF(AND(K42 &gt;= $F40, K42 &lt;=$F41), 1, 0)</f>
        <v>0</v>
      </c>
      <c r="L43" s="44">
        <f t="shared" si="24"/>
        <v>0</v>
      </c>
      <c r="M43" s="44">
        <f t="shared" si="24"/>
        <v>0</v>
      </c>
      <c r="N43" s="44">
        <f t="shared" si="24"/>
        <v>0</v>
      </c>
      <c r="O43" s="44">
        <f t="shared" si="24"/>
        <v>0</v>
      </c>
      <c r="P43" s="44">
        <f t="shared" si="24"/>
        <v>1</v>
      </c>
      <c r="Q43" s="44">
        <f t="shared" si="24"/>
        <v>1</v>
      </c>
      <c r="R43" s="44">
        <f t="shared" si="24"/>
        <v>1</v>
      </c>
      <c r="S43" s="44">
        <f t="shared" si="24"/>
        <v>1</v>
      </c>
      <c r="T43" s="44">
        <f t="shared" si="24"/>
        <v>1</v>
      </c>
      <c r="U43" s="44">
        <f t="shared" si="24"/>
        <v>1</v>
      </c>
      <c r="V43" s="44">
        <f t="shared" si="24"/>
        <v>0</v>
      </c>
      <c r="W43" s="44">
        <f t="shared" si="24"/>
        <v>0</v>
      </c>
      <c r="X43" s="44">
        <f t="shared" si="24"/>
        <v>0</v>
      </c>
      <c r="Y43" s="44">
        <f t="shared" si="24"/>
        <v>0</v>
      </c>
      <c r="Z43" s="44">
        <f t="shared" si="24"/>
        <v>0</v>
      </c>
      <c r="AA43" s="44">
        <f t="shared" si="24"/>
        <v>0</v>
      </c>
      <c r="AB43" s="44">
        <f t="shared" si="24"/>
        <v>0</v>
      </c>
      <c r="AC43" s="44">
        <f t="shared" si="24"/>
        <v>0</v>
      </c>
      <c r="AD43" s="44">
        <f t="shared" si="24"/>
        <v>0</v>
      </c>
      <c r="AE43" s="44">
        <f t="shared" si="24"/>
        <v>0</v>
      </c>
      <c r="AF43" s="44">
        <f t="shared" si="24"/>
        <v>0</v>
      </c>
      <c r="AG43" s="44">
        <f t="shared" si="24"/>
        <v>0</v>
      </c>
      <c r="AH43" s="44">
        <f t="shared" si="24"/>
        <v>0</v>
      </c>
      <c r="AI43" s="44">
        <f t="shared" si="24"/>
        <v>0</v>
      </c>
      <c r="AJ43" s="44">
        <f t="shared" si="24"/>
        <v>0</v>
      </c>
      <c r="AK43" s="44">
        <f t="shared" si="24"/>
        <v>0</v>
      </c>
      <c r="AL43" s="44">
        <f t="shared" si="24"/>
        <v>0</v>
      </c>
      <c r="AM43" s="44">
        <f t="shared" si="24"/>
        <v>0</v>
      </c>
      <c r="AN43" s="44">
        <f t="shared" si="24"/>
        <v>0</v>
      </c>
      <c r="AO43" s="44">
        <f t="shared" si="24"/>
        <v>0</v>
      </c>
      <c r="AP43" s="44">
        <f t="shared" si="24"/>
        <v>0</v>
      </c>
      <c r="AQ43" s="44">
        <f t="shared" si="24"/>
        <v>0</v>
      </c>
      <c r="AR43" s="44">
        <f t="shared" si="24"/>
        <v>0</v>
      </c>
      <c r="AS43" s="44">
        <f t="shared" si="24"/>
        <v>0</v>
      </c>
      <c r="AT43" s="44">
        <f t="shared" si="24"/>
        <v>0</v>
      </c>
      <c r="AU43" s="44">
        <f t="shared" si="24"/>
        <v>0</v>
      </c>
      <c r="AV43" s="44">
        <f t="shared" si="24"/>
        <v>0</v>
      </c>
      <c r="AW43" s="44">
        <f t="shared" si="24"/>
        <v>0</v>
      </c>
      <c r="AX43" s="44">
        <f t="shared" si="24"/>
        <v>0</v>
      </c>
      <c r="AY43" s="44">
        <f t="shared" si="24"/>
        <v>0</v>
      </c>
      <c r="AZ43" s="44">
        <f t="shared" si="24"/>
        <v>0</v>
      </c>
      <c r="BA43" s="44">
        <f t="shared" si="24"/>
        <v>0</v>
      </c>
      <c r="BB43" s="44">
        <f t="shared" si="24"/>
        <v>0</v>
      </c>
      <c r="BC43" s="44">
        <f t="shared" si="24"/>
        <v>0</v>
      </c>
      <c r="BD43" s="44">
        <f t="shared" si="24"/>
        <v>0</v>
      </c>
      <c r="BE43" s="44">
        <f t="shared" si="24"/>
        <v>0</v>
      </c>
      <c r="BF43" s="44">
        <f t="shared" si="24"/>
        <v>0</v>
      </c>
      <c r="BG43" s="44">
        <f t="shared" si="24"/>
        <v>0</v>
      </c>
      <c r="BH43" s="44">
        <f t="shared" si="24"/>
        <v>0</v>
      </c>
      <c r="BI43" s="44">
        <f t="shared" si="24"/>
        <v>0</v>
      </c>
      <c r="BJ43" s="44">
        <f t="shared" si="24"/>
        <v>0</v>
      </c>
      <c r="BK43" s="44">
        <f t="shared" si="24"/>
        <v>0</v>
      </c>
      <c r="BL43" s="44">
        <f t="shared" si="24"/>
        <v>0</v>
      </c>
      <c r="BM43" s="44">
        <f t="shared" si="24"/>
        <v>0</v>
      </c>
      <c r="BN43" s="44">
        <f t="shared" si="24"/>
        <v>0</v>
      </c>
      <c r="BO43" s="44">
        <f t="shared" si="24"/>
        <v>0</v>
      </c>
      <c r="BP43" s="44">
        <f t="shared" si="24"/>
        <v>0</v>
      </c>
      <c r="BQ43" s="44">
        <f t="shared" si="24"/>
        <v>0</v>
      </c>
      <c r="BR43" s="44">
        <f t="shared" si="24"/>
        <v>0</v>
      </c>
      <c r="BS43" s="44">
        <f t="shared" si="24"/>
        <v>0</v>
      </c>
      <c r="BT43" s="44">
        <f t="shared" si="24"/>
        <v>0</v>
      </c>
      <c r="BU43" s="44">
        <f t="shared" si="24"/>
        <v>0</v>
      </c>
      <c r="BV43" s="44">
        <f t="shared" si="24"/>
        <v>0</v>
      </c>
      <c r="BW43" s="44">
        <f xml:space="preserve"> IF(AND(BW42 &gt;= $F40, BW42 &lt;=$F41), 1, 0)</f>
        <v>0</v>
      </c>
      <c r="BX43" s="44">
        <f xml:space="preserve"> IF(AND(BX42 &gt;= $F40, BX42 &lt;=$F41), 1, 0)</f>
        <v>0</v>
      </c>
      <c r="BY43" s="44">
        <f xml:space="preserve"> IF(AND(BY42 &gt;= $F40, BY42 &lt;=$F41), 1, 0)</f>
        <v>0</v>
      </c>
    </row>
    <row r="44" spans="1:77" s="44" customFormat="1">
      <c r="A44" s="129"/>
      <c r="B44" s="41"/>
      <c r="C44" s="42"/>
      <c r="D44" s="43"/>
    </row>
    <row r="45" spans="1:77" s="7" customFormat="1">
      <c r="A45" s="4"/>
      <c r="B45" s="10" t="s">
        <v>62</v>
      </c>
      <c r="C45" s="180"/>
      <c r="D45" s="6"/>
    </row>
    <row r="46" spans="1:77" s="73" customFormat="1">
      <c r="A46" s="100"/>
      <c r="B46" s="70"/>
      <c r="C46" s="71"/>
      <c r="D46" s="72"/>
      <c r="E46" s="73" t="str">
        <f xml:space="preserve"> InpC!E$14</f>
        <v>Forecast period start date</v>
      </c>
      <c r="F46" s="73">
        <f xml:space="preserve"> InpC!F$14</f>
        <v>42369</v>
      </c>
      <c r="G46" s="73" t="str">
        <f xml:space="preserve"> InpC!G$14</f>
        <v>date</v>
      </c>
    </row>
    <row r="47" spans="1:77" s="22" customFormat="1">
      <c r="A47" s="21"/>
      <c r="B47" s="20"/>
      <c r="C47" s="34"/>
      <c r="D47" s="25"/>
      <c r="E47" s="22" t="str">
        <f xml:space="preserve"> E$19</f>
        <v xml:space="preserve">Model period ending </v>
      </c>
      <c r="F47" s="22">
        <f t="shared" ref="F47:BQ47" si="25" xml:space="preserve"> F$19</f>
        <v>0</v>
      </c>
      <c r="G47" s="22" t="str">
        <f t="shared" si="25"/>
        <v>date</v>
      </c>
      <c r="H47" s="22">
        <f t="shared" si="25"/>
        <v>0</v>
      </c>
      <c r="I47" s="22">
        <f t="shared" si="25"/>
        <v>0</v>
      </c>
      <c r="J47" s="22">
        <f t="shared" si="25"/>
        <v>40178</v>
      </c>
      <c r="K47" s="22">
        <f t="shared" si="25"/>
        <v>40543</v>
      </c>
      <c r="L47" s="22">
        <f t="shared" si="25"/>
        <v>40908</v>
      </c>
      <c r="M47" s="22">
        <f t="shared" si="25"/>
        <v>41274</v>
      </c>
      <c r="N47" s="22">
        <f t="shared" si="25"/>
        <v>41639</v>
      </c>
      <c r="O47" s="22">
        <f t="shared" si="25"/>
        <v>42004</v>
      </c>
      <c r="P47" s="22">
        <f t="shared" si="25"/>
        <v>42369</v>
      </c>
      <c r="Q47" s="22">
        <f t="shared" si="25"/>
        <v>42735</v>
      </c>
      <c r="R47" s="22">
        <f t="shared" si="25"/>
        <v>43100</v>
      </c>
      <c r="S47" s="22">
        <f t="shared" si="25"/>
        <v>43465</v>
      </c>
      <c r="T47" s="22">
        <f t="shared" si="25"/>
        <v>43830</v>
      </c>
      <c r="U47" s="22">
        <f t="shared" si="25"/>
        <v>44196</v>
      </c>
      <c r="V47" s="22">
        <f t="shared" si="25"/>
        <v>44561</v>
      </c>
      <c r="W47" s="22">
        <f t="shared" si="25"/>
        <v>44926</v>
      </c>
      <c r="X47" s="22">
        <f t="shared" si="25"/>
        <v>45291</v>
      </c>
      <c r="Y47" s="22">
        <f t="shared" si="25"/>
        <v>45657</v>
      </c>
      <c r="Z47" s="22">
        <f t="shared" si="25"/>
        <v>46022</v>
      </c>
      <c r="AA47" s="22">
        <f t="shared" si="25"/>
        <v>46387</v>
      </c>
      <c r="AB47" s="22">
        <f t="shared" si="25"/>
        <v>46752</v>
      </c>
      <c r="AC47" s="22">
        <f t="shared" si="25"/>
        <v>47118</v>
      </c>
      <c r="AD47" s="22">
        <f t="shared" si="25"/>
        <v>47483</v>
      </c>
      <c r="AE47" s="22">
        <f t="shared" si="25"/>
        <v>47848</v>
      </c>
      <c r="AF47" s="22">
        <f t="shared" si="25"/>
        <v>48213</v>
      </c>
      <c r="AG47" s="22">
        <f t="shared" si="25"/>
        <v>48579</v>
      </c>
      <c r="AH47" s="22">
        <f t="shared" si="25"/>
        <v>48944</v>
      </c>
      <c r="AI47" s="22">
        <f t="shared" si="25"/>
        <v>49309</v>
      </c>
      <c r="AJ47" s="22">
        <f t="shared" si="25"/>
        <v>49674</v>
      </c>
      <c r="AK47" s="22">
        <f t="shared" si="25"/>
        <v>50040</v>
      </c>
      <c r="AL47" s="22">
        <f t="shared" si="25"/>
        <v>50405</v>
      </c>
      <c r="AM47" s="22">
        <f t="shared" si="25"/>
        <v>50770</v>
      </c>
      <c r="AN47" s="22">
        <f t="shared" si="25"/>
        <v>51135</v>
      </c>
      <c r="AO47" s="22">
        <f t="shared" si="25"/>
        <v>51501</v>
      </c>
      <c r="AP47" s="22">
        <f t="shared" si="25"/>
        <v>51866</v>
      </c>
      <c r="AQ47" s="22">
        <f t="shared" si="25"/>
        <v>52231</v>
      </c>
      <c r="AR47" s="22">
        <f t="shared" si="25"/>
        <v>52596</v>
      </c>
      <c r="AS47" s="22">
        <f t="shared" si="25"/>
        <v>52962</v>
      </c>
      <c r="AT47" s="22">
        <f t="shared" si="25"/>
        <v>53327</v>
      </c>
      <c r="AU47" s="22">
        <f t="shared" si="25"/>
        <v>53692</v>
      </c>
      <c r="AV47" s="22">
        <f t="shared" si="25"/>
        <v>54057</v>
      </c>
      <c r="AW47" s="22">
        <f t="shared" si="25"/>
        <v>54423</v>
      </c>
      <c r="AX47" s="22">
        <f t="shared" si="25"/>
        <v>54788</v>
      </c>
      <c r="AY47" s="22">
        <f t="shared" si="25"/>
        <v>55153</v>
      </c>
      <c r="AZ47" s="22">
        <f t="shared" si="25"/>
        <v>55518</v>
      </c>
      <c r="BA47" s="22">
        <f t="shared" si="25"/>
        <v>55884</v>
      </c>
      <c r="BB47" s="22">
        <f t="shared" si="25"/>
        <v>56249</v>
      </c>
      <c r="BC47" s="22">
        <f t="shared" si="25"/>
        <v>56614</v>
      </c>
      <c r="BD47" s="22">
        <f t="shared" si="25"/>
        <v>56979</v>
      </c>
      <c r="BE47" s="22">
        <f t="shared" si="25"/>
        <v>57345</v>
      </c>
      <c r="BF47" s="22">
        <f t="shared" si="25"/>
        <v>57710</v>
      </c>
      <c r="BG47" s="22">
        <f t="shared" si="25"/>
        <v>58075</v>
      </c>
      <c r="BH47" s="22">
        <f t="shared" si="25"/>
        <v>58440</v>
      </c>
      <c r="BI47" s="22">
        <f t="shared" si="25"/>
        <v>58806</v>
      </c>
      <c r="BJ47" s="22">
        <f t="shared" si="25"/>
        <v>59171</v>
      </c>
      <c r="BK47" s="22">
        <f t="shared" si="25"/>
        <v>59536</v>
      </c>
      <c r="BL47" s="22">
        <f t="shared" si="25"/>
        <v>59901</v>
      </c>
      <c r="BM47" s="22">
        <f t="shared" si="25"/>
        <v>60267</v>
      </c>
      <c r="BN47" s="22">
        <f t="shared" si="25"/>
        <v>60632</v>
      </c>
      <c r="BO47" s="22">
        <f t="shared" si="25"/>
        <v>60997</v>
      </c>
      <c r="BP47" s="22">
        <f t="shared" si="25"/>
        <v>61362</v>
      </c>
      <c r="BQ47" s="22">
        <f t="shared" si="25"/>
        <v>61728</v>
      </c>
      <c r="BR47" s="22">
        <f t="shared" ref="BR47:BY47" si="26" xml:space="preserve"> BR$19</f>
        <v>62093</v>
      </c>
      <c r="BS47" s="22">
        <f t="shared" si="26"/>
        <v>62458</v>
      </c>
      <c r="BT47" s="22">
        <f t="shared" si="26"/>
        <v>62823</v>
      </c>
      <c r="BU47" s="22">
        <f t="shared" si="26"/>
        <v>63189</v>
      </c>
      <c r="BV47" s="22">
        <f t="shared" si="26"/>
        <v>63554</v>
      </c>
      <c r="BW47" s="22">
        <f t="shared" si="26"/>
        <v>63919</v>
      </c>
      <c r="BX47" s="22">
        <f t="shared" si="26"/>
        <v>64284</v>
      </c>
      <c r="BY47" s="22">
        <f t="shared" si="26"/>
        <v>64650</v>
      </c>
    </row>
    <row r="48" spans="1:77" s="44" customFormat="1">
      <c r="A48" s="129"/>
      <c r="B48" s="41"/>
      <c r="C48" s="42"/>
      <c r="D48" s="43"/>
      <c r="E48" s="44" t="s">
        <v>62</v>
      </c>
      <c r="G48" s="44" t="s">
        <v>16</v>
      </c>
      <c r="H48" s="44">
        <f>SUM(J48:BY48)</f>
        <v>1</v>
      </c>
      <c r="J48" s="44">
        <f xml:space="preserve"> IF(J47 = $F46, 1, 0)</f>
        <v>0</v>
      </c>
      <c r="K48" s="44">
        <f xml:space="preserve"> IF(K47 = $F46, 1, 0)</f>
        <v>0</v>
      </c>
      <c r="L48" s="44">
        <f xml:space="preserve"> IF(L47 = $F46, 1, 0)</f>
        <v>0</v>
      </c>
      <c r="M48" s="44">
        <f t="shared" ref="M48:BU48" si="27" xml:space="preserve"> IF(M47 = $F46, 1, 0)</f>
        <v>0</v>
      </c>
      <c r="N48" s="44">
        <f t="shared" si="27"/>
        <v>0</v>
      </c>
      <c r="O48" s="44">
        <f t="shared" si="27"/>
        <v>0</v>
      </c>
      <c r="P48" s="44">
        <f t="shared" si="27"/>
        <v>1</v>
      </c>
      <c r="Q48" s="44">
        <f t="shared" si="27"/>
        <v>0</v>
      </c>
      <c r="R48" s="44">
        <f t="shared" si="27"/>
        <v>0</v>
      </c>
      <c r="S48" s="44">
        <f t="shared" si="27"/>
        <v>0</v>
      </c>
      <c r="T48" s="44">
        <f t="shared" si="27"/>
        <v>0</v>
      </c>
      <c r="U48" s="44">
        <f t="shared" si="27"/>
        <v>0</v>
      </c>
      <c r="V48" s="44">
        <f t="shared" si="27"/>
        <v>0</v>
      </c>
      <c r="W48" s="44">
        <f t="shared" si="27"/>
        <v>0</v>
      </c>
      <c r="X48" s="44">
        <f t="shared" si="27"/>
        <v>0</v>
      </c>
      <c r="Y48" s="44">
        <f t="shared" si="27"/>
        <v>0</v>
      </c>
      <c r="Z48" s="44">
        <f t="shared" si="27"/>
        <v>0</v>
      </c>
      <c r="AA48" s="44">
        <f t="shared" si="27"/>
        <v>0</v>
      </c>
      <c r="AB48" s="44">
        <f t="shared" si="27"/>
        <v>0</v>
      </c>
      <c r="AC48" s="44">
        <f t="shared" si="27"/>
        <v>0</v>
      </c>
      <c r="AD48" s="44">
        <f t="shared" si="27"/>
        <v>0</v>
      </c>
      <c r="AE48" s="44">
        <f t="shared" si="27"/>
        <v>0</v>
      </c>
      <c r="AF48" s="44">
        <f t="shared" si="27"/>
        <v>0</v>
      </c>
      <c r="AG48" s="44">
        <f t="shared" si="27"/>
        <v>0</v>
      </c>
      <c r="AH48" s="44">
        <f t="shared" si="27"/>
        <v>0</v>
      </c>
      <c r="AI48" s="44">
        <f t="shared" si="27"/>
        <v>0</v>
      </c>
      <c r="AJ48" s="44">
        <f t="shared" si="27"/>
        <v>0</v>
      </c>
      <c r="AK48" s="44">
        <f t="shared" si="27"/>
        <v>0</v>
      </c>
      <c r="AL48" s="44">
        <f t="shared" si="27"/>
        <v>0</v>
      </c>
      <c r="AM48" s="44">
        <f t="shared" si="27"/>
        <v>0</v>
      </c>
      <c r="AN48" s="44">
        <f t="shared" si="27"/>
        <v>0</v>
      </c>
      <c r="AO48" s="44">
        <f t="shared" si="27"/>
        <v>0</v>
      </c>
      <c r="AP48" s="44">
        <f t="shared" si="27"/>
        <v>0</v>
      </c>
      <c r="AQ48" s="44">
        <f t="shared" si="27"/>
        <v>0</v>
      </c>
      <c r="AR48" s="44">
        <f t="shared" si="27"/>
        <v>0</v>
      </c>
      <c r="AS48" s="44">
        <f t="shared" si="27"/>
        <v>0</v>
      </c>
      <c r="AT48" s="44">
        <f t="shared" si="27"/>
        <v>0</v>
      </c>
      <c r="AU48" s="44">
        <f t="shared" si="27"/>
        <v>0</v>
      </c>
      <c r="AV48" s="44">
        <f t="shared" si="27"/>
        <v>0</v>
      </c>
      <c r="AW48" s="44">
        <f t="shared" si="27"/>
        <v>0</v>
      </c>
      <c r="AX48" s="44">
        <f t="shared" si="27"/>
        <v>0</v>
      </c>
      <c r="AY48" s="44">
        <f t="shared" si="27"/>
        <v>0</v>
      </c>
      <c r="AZ48" s="44">
        <f t="shared" si="27"/>
        <v>0</v>
      </c>
      <c r="BA48" s="44">
        <f t="shared" si="27"/>
        <v>0</v>
      </c>
      <c r="BB48" s="44">
        <f t="shared" si="27"/>
        <v>0</v>
      </c>
      <c r="BC48" s="44">
        <f t="shared" si="27"/>
        <v>0</v>
      </c>
      <c r="BD48" s="44">
        <f t="shared" si="27"/>
        <v>0</v>
      </c>
      <c r="BE48" s="44">
        <f t="shared" si="27"/>
        <v>0</v>
      </c>
      <c r="BF48" s="44">
        <f t="shared" si="27"/>
        <v>0</v>
      </c>
      <c r="BG48" s="44">
        <f t="shared" si="27"/>
        <v>0</v>
      </c>
      <c r="BH48" s="44">
        <f t="shared" si="27"/>
        <v>0</v>
      </c>
      <c r="BI48" s="44">
        <f t="shared" si="27"/>
        <v>0</v>
      </c>
      <c r="BJ48" s="44">
        <f t="shared" si="27"/>
        <v>0</v>
      </c>
      <c r="BK48" s="44">
        <f t="shared" si="27"/>
        <v>0</v>
      </c>
      <c r="BL48" s="44">
        <f t="shared" si="27"/>
        <v>0</v>
      </c>
      <c r="BM48" s="44">
        <f t="shared" si="27"/>
        <v>0</v>
      </c>
      <c r="BN48" s="44">
        <f t="shared" si="27"/>
        <v>0</v>
      </c>
      <c r="BO48" s="44">
        <f t="shared" si="27"/>
        <v>0</v>
      </c>
      <c r="BP48" s="44">
        <f t="shared" si="27"/>
        <v>0</v>
      </c>
      <c r="BQ48" s="44">
        <f t="shared" si="27"/>
        <v>0</v>
      </c>
      <c r="BR48" s="44">
        <f t="shared" si="27"/>
        <v>0</v>
      </c>
      <c r="BS48" s="44">
        <f t="shared" si="27"/>
        <v>0</v>
      </c>
      <c r="BT48" s="44">
        <f t="shared" si="27"/>
        <v>0</v>
      </c>
      <c r="BU48" s="44">
        <f t="shared" si="27"/>
        <v>0</v>
      </c>
      <c r="BV48" s="44">
        <f xml:space="preserve"> IF(BV47 = $F46, 1, 0)</f>
        <v>0</v>
      </c>
      <c r="BW48" s="44">
        <f xml:space="preserve"> IF(BW47 = $F46, 1, 0)</f>
        <v>0</v>
      </c>
      <c r="BX48" s="44">
        <f xml:space="preserve"> IF(BX47 = $F46, 1, 0)</f>
        <v>0</v>
      </c>
      <c r="BY48" s="44">
        <f xml:space="preserve"> IF(BY47 = $F46, 1, 0)</f>
        <v>0</v>
      </c>
    </row>
    <row r="49" spans="1:77" s="12" customFormat="1">
      <c r="A49" s="4"/>
      <c r="B49" s="10"/>
      <c r="C49" s="5"/>
      <c r="D49" s="11"/>
    </row>
    <row r="50" spans="1:77" s="12" customFormat="1">
      <c r="A50" s="4"/>
      <c r="B50" s="10" t="s">
        <v>43</v>
      </c>
      <c r="C50" s="5"/>
      <c r="D50" s="11"/>
    </row>
    <row r="51" spans="1:77" s="107" customFormat="1">
      <c r="A51" s="24"/>
      <c r="B51" s="32"/>
      <c r="C51" s="29"/>
      <c r="D51" s="106"/>
      <c r="E51" s="74" t="str">
        <f xml:space="preserve"> InpC!E$14</f>
        <v>Forecast period start date</v>
      </c>
      <c r="F51" s="74">
        <f xml:space="preserve"> InpC!F$14</f>
        <v>42369</v>
      </c>
      <c r="G51" s="74" t="str">
        <f xml:space="preserve"> InpC!G$14</f>
        <v>date</v>
      </c>
    </row>
    <row r="52" spans="1:77" s="22" customFormat="1">
      <c r="A52" s="21"/>
      <c r="B52" s="20"/>
      <c r="C52" s="34"/>
      <c r="D52" s="25"/>
      <c r="E52" s="22" t="str">
        <f xml:space="preserve"> E$19</f>
        <v xml:space="preserve">Model period ending </v>
      </c>
      <c r="F52" s="22">
        <f t="shared" ref="F52:BQ52" si="28" xml:space="preserve"> F$19</f>
        <v>0</v>
      </c>
      <c r="G52" s="22" t="str">
        <f t="shared" si="28"/>
        <v>date</v>
      </c>
      <c r="H52" s="22">
        <f t="shared" si="28"/>
        <v>0</v>
      </c>
      <c r="I52" s="22">
        <f t="shared" si="28"/>
        <v>0</v>
      </c>
      <c r="J52" s="22">
        <f t="shared" si="28"/>
        <v>40178</v>
      </c>
      <c r="K52" s="22">
        <f t="shared" si="28"/>
        <v>40543</v>
      </c>
      <c r="L52" s="22">
        <f t="shared" si="28"/>
        <v>40908</v>
      </c>
      <c r="M52" s="22">
        <f t="shared" si="28"/>
        <v>41274</v>
      </c>
      <c r="N52" s="22">
        <f t="shared" si="28"/>
        <v>41639</v>
      </c>
      <c r="O52" s="22">
        <f t="shared" si="28"/>
        <v>42004</v>
      </c>
      <c r="P52" s="22">
        <f t="shared" si="28"/>
        <v>42369</v>
      </c>
      <c r="Q52" s="22">
        <f t="shared" si="28"/>
        <v>42735</v>
      </c>
      <c r="R52" s="22">
        <f t="shared" si="28"/>
        <v>43100</v>
      </c>
      <c r="S52" s="22">
        <f t="shared" si="28"/>
        <v>43465</v>
      </c>
      <c r="T52" s="22">
        <f t="shared" si="28"/>
        <v>43830</v>
      </c>
      <c r="U52" s="22">
        <f t="shared" si="28"/>
        <v>44196</v>
      </c>
      <c r="V52" s="22">
        <f t="shared" si="28"/>
        <v>44561</v>
      </c>
      <c r="W52" s="22">
        <f t="shared" si="28"/>
        <v>44926</v>
      </c>
      <c r="X52" s="22">
        <f t="shared" si="28"/>
        <v>45291</v>
      </c>
      <c r="Y52" s="22">
        <f t="shared" si="28"/>
        <v>45657</v>
      </c>
      <c r="Z52" s="22">
        <f t="shared" si="28"/>
        <v>46022</v>
      </c>
      <c r="AA52" s="22">
        <f t="shared" si="28"/>
        <v>46387</v>
      </c>
      <c r="AB52" s="22">
        <f t="shared" si="28"/>
        <v>46752</v>
      </c>
      <c r="AC52" s="22">
        <f t="shared" si="28"/>
        <v>47118</v>
      </c>
      <c r="AD52" s="22">
        <f t="shared" si="28"/>
        <v>47483</v>
      </c>
      <c r="AE52" s="22">
        <f t="shared" si="28"/>
        <v>47848</v>
      </c>
      <c r="AF52" s="22">
        <f t="shared" si="28"/>
        <v>48213</v>
      </c>
      <c r="AG52" s="22">
        <f t="shared" si="28"/>
        <v>48579</v>
      </c>
      <c r="AH52" s="22">
        <f t="shared" si="28"/>
        <v>48944</v>
      </c>
      <c r="AI52" s="22">
        <f t="shared" si="28"/>
        <v>49309</v>
      </c>
      <c r="AJ52" s="22">
        <f t="shared" si="28"/>
        <v>49674</v>
      </c>
      <c r="AK52" s="22">
        <f t="shared" si="28"/>
        <v>50040</v>
      </c>
      <c r="AL52" s="22">
        <f t="shared" si="28"/>
        <v>50405</v>
      </c>
      <c r="AM52" s="22">
        <f t="shared" si="28"/>
        <v>50770</v>
      </c>
      <c r="AN52" s="22">
        <f t="shared" si="28"/>
        <v>51135</v>
      </c>
      <c r="AO52" s="22">
        <f t="shared" si="28"/>
        <v>51501</v>
      </c>
      <c r="AP52" s="22">
        <f t="shared" si="28"/>
        <v>51866</v>
      </c>
      <c r="AQ52" s="22">
        <f t="shared" si="28"/>
        <v>52231</v>
      </c>
      <c r="AR52" s="22">
        <f t="shared" si="28"/>
        <v>52596</v>
      </c>
      <c r="AS52" s="22">
        <f t="shared" si="28"/>
        <v>52962</v>
      </c>
      <c r="AT52" s="22">
        <f t="shared" si="28"/>
        <v>53327</v>
      </c>
      <c r="AU52" s="22">
        <f t="shared" si="28"/>
        <v>53692</v>
      </c>
      <c r="AV52" s="22">
        <f t="shared" si="28"/>
        <v>54057</v>
      </c>
      <c r="AW52" s="22">
        <f t="shared" si="28"/>
        <v>54423</v>
      </c>
      <c r="AX52" s="22">
        <f t="shared" si="28"/>
        <v>54788</v>
      </c>
      <c r="AY52" s="22">
        <f t="shared" si="28"/>
        <v>55153</v>
      </c>
      <c r="AZ52" s="22">
        <f t="shared" si="28"/>
        <v>55518</v>
      </c>
      <c r="BA52" s="22">
        <f t="shared" si="28"/>
        <v>55884</v>
      </c>
      <c r="BB52" s="22">
        <f t="shared" si="28"/>
        <v>56249</v>
      </c>
      <c r="BC52" s="22">
        <f t="shared" si="28"/>
        <v>56614</v>
      </c>
      <c r="BD52" s="22">
        <f t="shared" si="28"/>
        <v>56979</v>
      </c>
      <c r="BE52" s="22">
        <f t="shared" si="28"/>
        <v>57345</v>
      </c>
      <c r="BF52" s="22">
        <f t="shared" si="28"/>
        <v>57710</v>
      </c>
      <c r="BG52" s="22">
        <f t="shared" si="28"/>
        <v>58075</v>
      </c>
      <c r="BH52" s="22">
        <f t="shared" si="28"/>
        <v>58440</v>
      </c>
      <c r="BI52" s="22">
        <f t="shared" si="28"/>
        <v>58806</v>
      </c>
      <c r="BJ52" s="22">
        <f t="shared" si="28"/>
        <v>59171</v>
      </c>
      <c r="BK52" s="22">
        <f t="shared" si="28"/>
        <v>59536</v>
      </c>
      <c r="BL52" s="22">
        <f t="shared" si="28"/>
        <v>59901</v>
      </c>
      <c r="BM52" s="22">
        <f t="shared" si="28"/>
        <v>60267</v>
      </c>
      <c r="BN52" s="22">
        <f t="shared" si="28"/>
        <v>60632</v>
      </c>
      <c r="BO52" s="22">
        <f t="shared" si="28"/>
        <v>60997</v>
      </c>
      <c r="BP52" s="22">
        <f t="shared" si="28"/>
        <v>61362</v>
      </c>
      <c r="BQ52" s="22">
        <f t="shared" si="28"/>
        <v>61728</v>
      </c>
      <c r="BR52" s="22">
        <f t="shared" ref="BR52:BY52" si="29" xml:space="preserve"> BR$19</f>
        <v>62093</v>
      </c>
      <c r="BS52" s="22">
        <f t="shared" si="29"/>
        <v>62458</v>
      </c>
      <c r="BT52" s="22">
        <f t="shared" si="29"/>
        <v>62823</v>
      </c>
      <c r="BU52" s="22">
        <f t="shared" si="29"/>
        <v>63189</v>
      </c>
      <c r="BV52" s="22">
        <f t="shared" si="29"/>
        <v>63554</v>
      </c>
      <c r="BW52" s="22">
        <f t="shared" si="29"/>
        <v>63919</v>
      </c>
      <c r="BX52" s="22">
        <f t="shared" si="29"/>
        <v>64284</v>
      </c>
      <c r="BY52" s="22">
        <f t="shared" si="29"/>
        <v>64650</v>
      </c>
    </row>
    <row r="53" spans="1:77" s="116" customFormat="1">
      <c r="A53" s="117"/>
      <c r="B53" s="117"/>
      <c r="C53" s="118"/>
      <c r="E53" s="116" t="s">
        <v>43</v>
      </c>
      <c r="F53" s="117"/>
      <c r="G53" s="116" t="s">
        <v>16</v>
      </c>
      <c r="H53" s="116">
        <f>SUM(J53:BY53)</f>
        <v>6</v>
      </c>
      <c r="J53" s="116">
        <f xml:space="preserve"> IF(J52 &lt; $F51, 1, 0)</f>
        <v>1</v>
      </c>
      <c r="K53" s="116">
        <f t="shared" ref="K53:BV53" si="30" xml:space="preserve"> IF(K52 &lt; $F51, 1, 0)</f>
        <v>1</v>
      </c>
      <c r="L53" s="116">
        <f t="shared" si="30"/>
        <v>1</v>
      </c>
      <c r="M53" s="116">
        <f t="shared" si="30"/>
        <v>1</v>
      </c>
      <c r="N53" s="116">
        <f t="shared" si="30"/>
        <v>1</v>
      </c>
      <c r="O53" s="116">
        <f t="shared" si="30"/>
        <v>1</v>
      </c>
      <c r="P53" s="116">
        <f t="shared" si="30"/>
        <v>0</v>
      </c>
      <c r="Q53" s="116">
        <f t="shared" si="30"/>
        <v>0</v>
      </c>
      <c r="R53" s="116">
        <f t="shared" si="30"/>
        <v>0</v>
      </c>
      <c r="S53" s="116">
        <f t="shared" si="30"/>
        <v>0</v>
      </c>
      <c r="T53" s="116">
        <f t="shared" si="30"/>
        <v>0</v>
      </c>
      <c r="U53" s="116">
        <f t="shared" si="30"/>
        <v>0</v>
      </c>
      <c r="V53" s="116">
        <f t="shared" si="30"/>
        <v>0</v>
      </c>
      <c r="W53" s="116">
        <f t="shared" si="30"/>
        <v>0</v>
      </c>
      <c r="X53" s="116">
        <f t="shared" si="30"/>
        <v>0</v>
      </c>
      <c r="Y53" s="116">
        <f t="shared" si="30"/>
        <v>0</v>
      </c>
      <c r="Z53" s="116">
        <f t="shared" si="30"/>
        <v>0</v>
      </c>
      <c r="AA53" s="116">
        <f t="shared" si="30"/>
        <v>0</v>
      </c>
      <c r="AB53" s="116">
        <f t="shared" si="30"/>
        <v>0</v>
      </c>
      <c r="AC53" s="116">
        <f t="shared" si="30"/>
        <v>0</v>
      </c>
      <c r="AD53" s="116">
        <f t="shared" si="30"/>
        <v>0</v>
      </c>
      <c r="AE53" s="116">
        <f t="shared" si="30"/>
        <v>0</v>
      </c>
      <c r="AF53" s="116">
        <f t="shared" si="30"/>
        <v>0</v>
      </c>
      <c r="AG53" s="116">
        <f t="shared" si="30"/>
        <v>0</v>
      </c>
      <c r="AH53" s="116">
        <f t="shared" si="30"/>
        <v>0</v>
      </c>
      <c r="AI53" s="116">
        <f t="shared" si="30"/>
        <v>0</v>
      </c>
      <c r="AJ53" s="116">
        <f t="shared" si="30"/>
        <v>0</v>
      </c>
      <c r="AK53" s="116">
        <f t="shared" si="30"/>
        <v>0</v>
      </c>
      <c r="AL53" s="116">
        <f t="shared" si="30"/>
        <v>0</v>
      </c>
      <c r="AM53" s="116">
        <f t="shared" si="30"/>
        <v>0</v>
      </c>
      <c r="AN53" s="116">
        <f t="shared" si="30"/>
        <v>0</v>
      </c>
      <c r="AO53" s="116">
        <f t="shared" si="30"/>
        <v>0</v>
      </c>
      <c r="AP53" s="116">
        <f t="shared" si="30"/>
        <v>0</v>
      </c>
      <c r="AQ53" s="116">
        <f t="shared" si="30"/>
        <v>0</v>
      </c>
      <c r="AR53" s="116">
        <f t="shared" si="30"/>
        <v>0</v>
      </c>
      <c r="AS53" s="116">
        <f t="shared" si="30"/>
        <v>0</v>
      </c>
      <c r="AT53" s="116">
        <f t="shared" si="30"/>
        <v>0</v>
      </c>
      <c r="AU53" s="116">
        <f t="shared" si="30"/>
        <v>0</v>
      </c>
      <c r="AV53" s="116">
        <f t="shared" si="30"/>
        <v>0</v>
      </c>
      <c r="AW53" s="116">
        <f t="shared" si="30"/>
        <v>0</v>
      </c>
      <c r="AX53" s="116">
        <f t="shared" si="30"/>
        <v>0</v>
      </c>
      <c r="AY53" s="116">
        <f t="shared" si="30"/>
        <v>0</v>
      </c>
      <c r="AZ53" s="116">
        <f t="shared" si="30"/>
        <v>0</v>
      </c>
      <c r="BA53" s="116">
        <f t="shared" si="30"/>
        <v>0</v>
      </c>
      <c r="BB53" s="116">
        <f t="shared" si="30"/>
        <v>0</v>
      </c>
      <c r="BC53" s="116">
        <f t="shared" si="30"/>
        <v>0</v>
      </c>
      <c r="BD53" s="116">
        <f t="shared" si="30"/>
        <v>0</v>
      </c>
      <c r="BE53" s="116">
        <f t="shared" si="30"/>
        <v>0</v>
      </c>
      <c r="BF53" s="116">
        <f t="shared" si="30"/>
        <v>0</v>
      </c>
      <c r="BG53" s="116">
        <f t="shared" si="30"/>
        <v>0</v>
      </c>
      <c r="BH53" s="116">
        <f t="shared" si="30"/>
        <v>0</v>
      </c>
      <c r="BI53" s="116">
        <f t="shared" si="30"/>
        <v>0</v>
      </c>
      <c r="BJ53" s="116">
        <f t="shared" si="30"/>
        <v>0</v>
      </c>
      <c r="BK53" s="116">
        <f t="shared" si="30"/>
        <v>0</v>
      </c>
      <c r="BL53" s="116">
        <f t="shared" si="30"/>
        <v>0</v>
      </c>
      <c r="BM53" s="116">
        <f t="shared" si="30"/>
        <v>0</v>
      </c>
      <c r="BN53" s="116">
        <f t="shared" si="30"/>
        <v>0</v>
      </c>
      <c r="BO53" s="116">
        <f t="shared" si="30"/>
        <v>0</v>
      </c>
      <c r="BP53" s="116">
        <f t="shared" si="30"/>
        <v>0</v>
      </c>
      <c r="BQ53" s="116">
        <f t="shared" si="30"/>
        <v>0</v>
      </c>
      <c r="BR53" s="116">
        <f t="shared" si="30"/>
        <v>0</v>
      </c>
      <c r="BS53" s="116">
        <f t="shared" si="30"/>
        <v>0</v>
      </c>
      <c r="BT53" s="116">
        <f t="shared" si="30"/>
        <v>0</v>
      </c>
      <c r="BU53" s="116">
        <f t="shared" si="30"/>
        <v>0</v>
      </c>
      <c r="BV53" s="116">
        <f t="shared" si="30"/>
        <v>0</v>
      </c>
      <c r="BW53" s="116">
        <f xml:space="preserve"> IF(BW52 &lt; $F51, 1, 0)</f>
        <v>0</v>
      </c>
      <c r="BX53" s="116">
        <f xml:space="preserve"> IF(BX52 &lt; $F51, 1, 0)</f>
        <v>0</v>
      </c>
      <c r="BY53" s="116">
        <f xml:space="preserve"> IF(BY52 &lt; $F51, 1, 0)</f>
        <v>0</v>
      </c>
    </row>
    <row r="54" spans="1:77" s="18" customFormat="1">
      <c r="A54" s="4"/>
      <c r="B54" s="4"/>
      <c r="C54" s="16"/>
      <c r="D54" s="17"/>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row>
    <row r="55" spans="1:77" s="12" customFormat="1">
      <c r="A55" s="4"/>
      <c r="B55" s="10" t="s">
        <v>9</v>
      </c>
      <c r="C55" s="5"/>
      <c r="D55" s="11"/>
    </row>
    <row r="56" spans="1:77" s="105" customFormat="1">
      <c r="A56" s="24"/>
      <c r="B56" s="24"/>
      <c r="C56" s="28"/>
      <c r="D56" s="104"/>
      <c r="E56" s="105" t="str">
        <f xml:space="preserve"> E$38</f>
        <v>Last forecast date</v>
      </c>
      <c r="F56" s="105">
        <f xml:space="preserve"> F$38</f>
        <v>44196</v>
      </c>
      <c r="G56" s="105" t="str">
        <f xml:space="preserve"> G$38</f>
        <v>date</v>
      </c>
    </row>
    <row r="57" spans="1:77" s="22" customFormat="1">
      <c r="A57" s="21"/>
      <c r="B57" s="20"/>
      <c r="C57" s="34"/>
      <c r="D57" s="25"/>
      <c r="E57" s="22" t="str">
        <f xml:space="preserve"> E$19</f>
        <v xml:space="preserve">Model period ending </v>
      </c>
      <c r="F57" s="22">
        <f t="shared" ref="F57:BQ57" si="31" xml:space="preserve"> F$19</f>
        <v>0</v>
      </c>
      <c r="G57" s="22" t="str">
        <f t="shared" si="31"/>
        <v>date</v>
      </c>
      <c r="H57" s="22">
        <f t="shared" si="31"/>
        <v>0</v>
      </c>
      <c r="I57" s="22">
        <f t="shared" si="31"/>
        <v>0</v>
      </c>
      <c r="J57" s="22">
        <f t="shared" si="31"/>
        <v>40178</v>
      </c>
      <c r="K57" s="22">
        <f t="shared" si="31"/>
        <v>40543</v>
      </c>
      <c r="L57" s="22">
        <f t="shared" si="31"/>
        <v>40908</v>
      </c>
      <c r="M57" s="22">
        <f t="shared" si="31"/>
        <v>41274</v>
      </c>
      <c r="N57" s="22">
        <f t="shared" si="31"/>
        <v>41639</v>
      </c>
      <c r="O57" s="22">
        <f t="shared" si="31"/>
        <v>42004</v>
      </c>
      <c r="P57" s="22">
        <f t="shared" si="31"/>
        <v>42369</v>
      </c>
      <c r="Q57" s="22">
        <f t="shared" si="31"/>
        <v>42735</v>
      </c>
      <c r="R57" s="22">
        <f t="shared" si="31"/>
        <v>43100</v>
      </c>
      <c r="S57" s="22">
        <f t="shared" si="31"/>
        <v>43465</v>
      </c>
      <c r="T57" s="22">
        <f t="shared" si="31"/>
        <v>43830</v>
      </c>
      <c r="U57" s="22">
        <f t="shared" si="31"/>
        <v>44196</v>
      </c>
      <c r="V57" s="22">
        <f t="shared" si="31"/>
        <v>44561</v>
      </c>
      <c r="W57" s="22">
        <f t="shared" si="31"/>
        <v>44926</v>
      </c>
      <c r="X57" s="22">
        <f t="shared" si="31"/>
        <v>45291</v>
      </c>
      <c r="Y57" s="22">
        <f t="shared" si="31"/>
        <v>45657</v>
      </c>
      <c r="Z57" s="22">
        <f t="shared" si="31"/>
        <v>46022</v>
      </c>
      <c r="AA57" s="22">
        <f t="shared" si="31"/>
        <v>46387</v>
      </c>
      <c r="AB57" s="22">
        <f t="shared" si="31"/>
        <v>46752</v>
      </c>
      <c r="AC57" s="22">
        <f t="shared" si="31"/>
        <v>47118</v>
      </c>
      <c r="AD57" s="22">
        <f t="shared" si="31"/>
        <v>47483</v>
      </c>
      <c r="AE57" s="22">
        <f t="shared" si="31"/>
        <v>47848</v>
      </c>
      <c r="AF57" s="22">
        <f t="shared" si="31"/>
        <v>48213</v>
      </c>
      <c r="AG57" s="22">
        <f t="shared" si="31"/>
        <v>48579</v>
      </c>
      <c r="AH57" s="22">
        <f t="shared" si="31"/>
        <v>48944</v>
      </c>
      <c r="AI57" s="22">
        <f t="shared" si="31"/>
        <v>49309</v>
      </c>
      <c r="AJ57" s="22">
        <f t="shared" si="31"/>
        <v>49674</v>
      </c>
      <c r="AK57" s="22">
        <f t="shared" si="31"/>
        <v>50040</v>
      </c>
      <c r="AL57" s="22">
        <f t="shared" si="31"/>
        <v>50405</v>
      </c>
      <c r="AM57" s="22">
        <f t="shared" si="31"/>
        <v>50770</v>
      </c>
      <c r="AN57" s="22">
        <f t="shared" si="31"/>
        <v>51135</v>
      </c>
      <c r="AO57" s="22">
        <f t="shared" si="31"/>
        <v>51501</v>
      </c>
      <c r="AP57" s="22">
        <f t="shared" si="31"/>
        <v>51866</v>
      </c>
      <c r="AQ57" s="22">
        <f t="shared" si="31"/>
        <v>52231</v>
      </c>
      <c r="AR57" s="22">
        <f t="shared" si="31"/>
        <v>52596</v>
      </c>
      <c r="AS57" s="22">
        <f t="shared" si="31"/>
        <v>52962</v>
      </c>
      <c r="AT57" s="22">
        <f t="shared" si="31"/>
        <v>53327</v>
      </c>
      <c r="AU57" s="22">
        <f t="shared" si="31"/>
        <v>53692</v>
      </c>
      <c r="AV57" s="22">
        <f t="shared" si="31"/>
        <v>54057</v>
      </c>
      <c r="AW57" s="22">
        <f t="shared" si="31"/>
        <v>54423</v>
      </c>
      <c r="AX57" s="22">
        <f t="shared" si="31"/>
        <v>54788</v>
      </c>
      <c r="AY57" s="22">
        <f t="shared" si="31"/>
        <v>55153</v>
      </c>
      <c r="AZ57" s="22">
        <f t="shared" si="31"/>
        <v>55518</v>
      </c>
      <c r="BA57" s="22">
        <f t="shared" si="31"/>
        <v>55884</v>
      </c>
      <c r="BB57" s="22">
        <f t="shared" si="31"/>
        <v>56249</v>
      </c>
      <c r="BC57" s="22">
        <f t="shared" si="31"/>
        <v>56614</v>
      </c>
      <c r="BD57" s="22">
        <f t="shared" si="31"/>
        <v>56979</v>
      </c>
      <c r="BE57" s="22">
        <f t="shared" si="31"/>
        <v>57345</v>
      </c>
      <c r="BF57" s="22">
        <f t="shared" si="31"/>
        <v>57710</v>
      </c>
      <c r="BG57" s="22">
        <f t="shared" si="31"/>
        <v>58075</v>
      </c>
      <c r="BH57" s="22">
        <f t="shared" si="31"/>
        <v>58440</v>
      </c>
      <c r="BI57" s="22">
        <f t="shared" si="31"/>
        <v>58806</v>
      </c>
      <c r="BJ57" s="22">
        <f t="shared" si="31"/>
        <v>59171</v>
      </c>
      <c r="BK57" s="22">
        <f t="shared" si="31"/>
        <v>59536</v>
      </c>
      <c r="BL57" s="22">
        <f t="shared" si="31"/>
        <v>59901</v>
      </c>
      <c r="BM57" s="22">
        <f t="shared" si="31"/>
        <v>60267</v>
      </c>
      <c r="BN57" s="22">
        <f t="shared" si="31"/>
        <v>60632</v>
      </c>
      <c r="BO57" s="22">
        <f t="shared" si="31"/>
        <v>60997</v>
      </c>
      <c r="BP57" s="22">
        <f t="shared" si="31"/>
        <v>61362</v>
      </c>
      <c r="BQ57" s="22">
        <f t="shared" si="31"/>
        <v>61728</v>
      </c>
      <c r="BR57" s="22">
        <f t="shared" ref="BR57:BY57" si="32" xml:space="preserve"> BR$19</f>
        <v>62093</v>
      </c>
      <c r="BS57" s="22">
        <f t="shared" si="32"/>
        <v>62458</v>
      </c>
      <c r="BT57" s="22">
        <f t="shared" si="32"/>
        <v>62823</v>
      </c>
      <c r="BU57" s="22">
        <f t="shared" si="32"/>
        <v>63189</v>
      </c>
      <c r="BV57" s="22">
        <f t="shared" si="32"/>
        <v>63554</v>
      </c>
      <c r="BW57" s="22">
        <f t="shared" si="32"/>
        <v>63919</v>
      </c>
      <c r="BX57" s="22">
        <f t="shared" si="32"/>
        <v>64284</v>
      </c>
      <c r="BY57" s="22">
        <f t="shared" si="32"/>
        <v>64650</v>
      </c>
    </row>
    <row r="58" spans="1:77" s="116" customFormat="1">
      <c r="A58" s="117"/>
      <c r="B58" s="117"/>
      <c r="C58" s="118"/>
      <c r="E58" s="116" t="s">
        <v>9</v>
      </c>
      <c r="F58" s="117"/>
      <c r="G58" s="116" t="s">
        <v>16</v>
      </c>
      <c r="H58" s="116">
        <f>SUM(J58:BY58)</f>
        <v>1</v>
      </c>
      <c r="J58" s="116">
        <f xml:space="preserve"> IF(J57 = $F56, 1, 0)</f>
        <v>0</v>
      </c>
      <c r="K58" s="116">
        <f t="shared" ref="K58:BV58" si="33" xml:space="preserve"> IF(K57 = $F56, 1, 0)</f>
        <v>0</v>
      </c>
      <c r="L58" s="116">
        <f t="shared" si="33"/>
        <v>0</v>
      </c>
      <c r="M58" s="116">
        <f t="shared" si="33"/>
        <v>0</v>
      </c>
      <c r="N58" s="116">
        <f t="shared" si="33"/>
        <v>0</v>
      </c>
      <c r="O58" s="116">
        <f t="shared" si="33"/>
        <v>0</v>
      </c>
      <c r="P58" s="116">
        <f t="shared" si="33"/>
        <v>0</v>
      </c>
      <c r="Q58" s="116">
        <f t="shared" si="33"/>
        <v>0</v>
      </c>
      <c r="R58" s="116">
        <f t="shared" si="33"/>
        <v>0</v>
      </c>
      <c r="S58" s="116">
        <f t="shared" si="33"/>
        <v>0</v>
      </c>
      <c r="T58" s="116">
        <f t="shared" si="33"/>
        <v>0</v>
      </c>
      <c r="U58" s="116">
        <f t="shared" si="33"/>
        <v>1</v>
      </c>
      <c r="V58" s="116">
        <f t="shared" si="33"/>
        <v>0</v>
      </c>
      <c r="W58" s="116">
        <f t="shared" si="33"/>
        <v>0</v>
      </c>
      <c r="X58" s="116">
        <f t="shared" si="33"/>
        <v>0</v>
      </c>
      <c r="Y58" s="116">
        <f t="shared" si="33"/>
        <v>0</v>
      </c>
      <c r="Z58" s="116">
        <f t="shared" si="33"/>
        <v>0</v>
      </c>
      <c r="AA58" s="116">
        <f t="shared" si="33"/>
        <v>0</v>
      </c>
      <c r="AB58" s="116">
        <f t="shared" si="33"/>
        <v>0</v>
      </c>
      <c r="AC58" s="116">
        <f t="shared" si="33"/>
        <v>0</v>
      </c>
      <c r="AD58" s="116">
        <f t="shared" si="33"/>
        <v>0</v>
      </c>
      <c r="AE58" s="116">
        <f t="shared" si="33"/>
        <v>0</v>
      </c>
      <c r="AF58" s="116">
        <f t="shared" si="33"/>
        <v>0</v>
      </c>
      <c r="AG58" s="116">
        <f t="shared" si="33"/>
        <v>0</v>
      </c>
      <c r="AH58" s="116">
        <f t="shared" si="33"/>
        <v>0</v>
      </c>
      <c r="AI58" s="116">
        <f t="shared" si="33"/>
        <v>0</v>
      </c>
      <c r="AJ58" s="116">
        <f t="shared" si="33"/>
        <v>0</v>
      </c>
      <c r="AK58" s="116">
        <f t="shared" si="33"/>
        <v>0</v>
      </c>
      <c r="AL58" s="116">
        <f t="shared" si="33"/>
        <v>0</v>
      </c>
      <c r="AM58" s="116">
        <f t="shared" si="33"/>
        <v>0</v>
      </c>
      <c r="AN58" s="116">
        <f t="shared" si="33"/>
        <v>0</v>
      </c>
      <c r="AO58" s="116">
        <f t="shared" si="33"/>
        <v>0</v>
      </c>
      <c r="AP58" s="116">
        <f t="shared" si="33"/>
        <v>0</v>
      </c>
      <c r="AQ58" s="116">
        <f t="shared" si="33"/>
        <v>0</v>
      </c>
      <c r="AR58" s="116">
        <f t="shared" si="33"/>
        <v>0</v>
      </c>
      <c r="AS58" s="116">
        <f t="shared" si="33"/>
        <v>0</v>
      </c>
      <c r="AT58" s="116">
        <f t="shared" si="33"/>
        <v>0</v>
      </c>
      <c r="AU58" s="116">
        <f t="shared" si="33"/>
        <v>0</v>
      </c>
      <c r="AV58" s="116">
        <f t="shared" si="33"/>
        <v>0</v>
      </c>
      <c r="AW58" s="116">
        <f t="shared" si="33"/>
        <v>0</v>
      </c>
      <c r="AX58" s="116">
        <f t="shared" si="33"/>
        <v>0</v>
      </c>
      <c r="AY58" s="116">
        <f t="shared" si="33"/>
        <v>0</v>
      </c>
      <c r="AZ58" s="116">
        <f t="shared" si="33"/>
        <v>0</v>
      </c>
      <c r="BA58" s="116">
        <f t="shared" si="33"/>
        <v>0</v>
      </c>
      <c r="BB58" s="116">
        <f t="shared" si="33"/>
        <v>0</v>
      </c>
      <c r="BC58" s="116">
        <f t="shared" si="33"/>
        <v>0</v>
      </c>
      <c r="BD58" s="116">
        <f t="shared" si="33"/>
        <v>0</v>
      </c>
      <c r="BE58" s="116">
        <f t="shared" si="33"/>
        <v>0</v>
      </c>
      <c r="BF58" s="116">
        <f t="shared" si="33"/>
        <v>0</v>
      </c>
      <c r="BG58" s="116">
        <f t="shared" si="33"/>
        <v>0</v>
      </c>
      <c r="BH58" s="116">
        <f t="shared" si="33"/>
        <v>0</v>
      </c>
      <c r="BI58" s="116">
        <f t="shared" si="33"/>
        <v>0</v>
      </c>
      <c r="BJ58" s="116">
        <f t="shared" si="33"/>
        <v>0</v>
      </c>
      <c r="BK58" s="116">
        <f t="shared" si="33"/>
        <v>0</v>
      </c>
      <c r="BL58" s="116">
        <f t="shared" si="33"/>
        <v>0</v>
      </c>
      <c r="BM58" s="116">
        <f t="shared" si="33"/>
        <v>0</v>
      </c>
      <c r="BN58" s="116">
        <f t="shared" si="33"/>
        <v>0</v>
      </c>
      <c r="BO58" s="116">
        <f t="shared" si="33"/>
        <v>0</v>
      </c>
      <c r="BP58" s="116">
        <f t="shared" si="33"/>
        <v>0</v>
      </c>
      <c r="BQ58" s="116">
        <f t="shared" si="33"/>
        <v>0</v>
      </c>
      <c r="BR58" s="116">
        <f t="shared" si="33"/>
        <v>0</v>
      </c>
      <c r="BS58" s="116">
        <f t="shared" si="33"/>
        <v>0</v>
      </c>
      <c r="BT58" s="116">
        <f t="shared" si="33"/>
        <v>0</v>
      </c>
      <c r="BU58" s="116">
        <f t="shared" si="33"/>
        <v>0</v>
      </c>
      <c r="BV58" s="116">
        <f t="shared" si="33"/>
        <v>0</v>
      </c>
      <c r="BW58" s="116">
        <f xml:space="preserve"> IF(BW57 = $F56, 1, 0)</f>
        <v>0</v>
      </c>
      <c r="BX58" s="116">
        <f xml:space="preserve"> IF(BX57 = $F56, 1, 0)</f>
        <v>0</v>
      </c>
      <c r="BY58" s="116">
        <f xml:space="preserve"> IF(BY57 = $F56, 1, 0)</f>
        <v>0</v>
      </c>
    </row>
    <row r="59" spans="1:77" s="18" customFormat="1">
      <c r="A59" s="4"/>
      <c r="B59" s="4"/>
      <c r="C59" s="16"/>
      <c r="D59" s="17"/>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row>
    <row r="60" spans="1:77" s="18" customFormat="1">
      <c r="A60" s="4" t="s">
        <v>34</v>
      </c>
      <c r="B60" s="8"/>
      <c r="C60" s="76"/>
      <c r="D60" s="17"/>
      <c r="E60" s="19"/>
      <c r="F60" s="19"/>
      <c r="G60" s="19"/>
      <c r="H60" s="19"/>
      <c r="I60" s="19"/>
      <c r="J60" s="19"/>
      <c r="K60" s="19" t="s">
        <v>25</v>
      </c>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row>
    <row r="61" spans="1:77" s="18" customFormat="1">
      <c r="A61" s="4"/>
      <c r="B61" s="8"/>
      <c r="C61" s="76"/>
      <c r="D61" s="17"/>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row>
    <row r="62" spans="1:77" s="18" customFormat="1">
      <c r="A62" s="4"/>
      <c r="B62" s="8"/>
      <c r="C62" s="76"/>
      <c r="D62" s="17"/>
      <c r="E62" s="78" t="str">
        <f xml:space="preserve"> E$53</f>
        <v>Preforecast period flag</v>
      </c>
      <c r="F62" s="78">
        <f t="shared" ref="F62:BQ62" si="34" xml:space="preserve"> F$53</f>
        <v>0</v>
      </c>
      <c r="G62" s="78" t="str">
        <f t="shared" si="34"/>
        <v>flag</v>
      </c>
      <c r="H62" s="78">
        <f t="shared" si="34"/>
        <v>6</v>
      </c>
      <c r="I62" s="78">
        <f t="shared" si="34"/>
        <v>0</v>
      </c>
      <c r="J62" s="78">
        <f t="shared" si="34"/>
        <v>1</v>
      </c>
      <c r="K62" s="78">
        <f t="shared" si="34"/>
        <v>1</v>
      </c>
      <c r="L62" s="78">
        <f t="shared" si="34"/>
        <v>1</v>
      </c>
      <c r="M62" s="78">
        <f t="shared" si="34"/>
        <v>1</v>
      </c>
      <c r="N62" s="78">
        <f t="shared" si="34"/>
        <v>1</v>
      </c>
      <c r="O62" s="78">
        <f t="shared" si="34"/>
        <v>1</v>
      </c>
      <c r="P62" s="78">
        <f t="shared" si="34"/>
        <v>0</v>
      </c>
      <c r="Q62" s="78">
        <f t="shared" si="34"/>
        <v>0</v>
      </c>
      <c r="R62" s="78">
        <f t="shared" si="34"/>
        <v>0</v>
      </c>
      <c r="S62" s="78">
        <f t="shared" si="34"/>
        <v>0</v>
      </c>
      <c r="T62" s="78">
        <f t="shared" si="34"/>
        <v>0</v>
      </c>
      <c r="U62" s="78">
        <f t="shared" si="34"/>
        <v>0</v>
      </c>
      <c r="V62" s="78">
        <f t="shared" si="34"/>
        <v>0</v>
      </c>
      <c r="W62" s="78">
        <f t="shared" si="34"/>
        <v>0</v>
      </c>
      <c r="X62" s="78">
        <f t="shared" si="34"/>
        <v>0</v>
      </c>
      <c r="Y62" s="78">
        <f t="shared" si="34"/>
        <v>0</v>
      </c>
      <c r="Z62" s="78">
        <f t="shared" si="34"/>
        <v>0</v>
      </c>
      <c r="AA62" s="78">
        <f t="shared" si="34"/>
        <v>0</v>
      </c>
      <c r="AB62" s="78">
        <f t="shared" si="34"/>
        <v>0</v>
      </c>
      <c r="AC62" s="78">
        <f t="shared" si="34"/>
        <v>0</v>
      </c>
      <c r="AD62" s="78">
        <f t="shared" si="34"/>
        <v>0</v>
      </c>
      <c r="AE62" s="78">
        <f t="shared" si="34"/>
        <v>0</v>
      </c>
      <c r="AF62" s="78">
        <f t="shared" si="34"/>
        <v>0</v>
      </c>
      <c r="AG62" s="78">
        <f t="shared" si="34"/>
        <v>0</v>
      </c>
      <c r="AH62" s="78">
        <f t="shared" si="34"/>
        <v>0</v>
      </c>
      <c r="AI62" s="78">
        <f t="shared" si="34"/>
        <v>0</v>
      </c>
      <c r="AJ62" s="78">
        <f t="shared" si="34"/>
        <v>0</v>
      </c>
      <c r="AK62" s="78">
        <f t="shared" si="34"/>
        <v>0</v>
      </c>
      <c r="AL62" s="78">
        <f t="shared" si="34"/>
        <v>0</v>
      </c>
      <c r="AM62" s="78">
        <f t="shared" si="34"/>
        <v>0</v>
      </c>
      <c r="AN62" s="78">
        <f t="shared" si="34"/>
        <v>0</v>
      </c>
      <c r="AO62" s="78">
        <f t="shared" si="34"/>
        <v>0</v>
      </c>
      <c r="AP62" s="78">
        <f t="shared" si="34"/>
        <v>0</v>
      </c>
      <c r="AQ62" s="78">
        <f t="shared" si="34"/>
        <v>0</v>
      </c>
      <c r="AR62" s="78">
        <f t="shared" si="34"/>
        <v>0</v>
      </c>
      <c r="AS62" s="78">
        <f t="shared" si="34"/>
        <v>0</v>
      </c>
      <c r="AT62" s="78">
        <f t="shared" si="34"/>
        <v>0</v>
      </c>
      <c r="AU62" s="78">
        <f t="shared" si="34"/>
        <v>0</v>
      </c>
      <c r="AV62" s="78">
        <f t="shared" si="34"/>
        <v>0</v>
      </c>
      <c r="AW62" s="78">
        <f t="shared" si="34"/>
        <v>0</v>
      </c>
      <c r="AX62" s="78">
        <f t="shared" si="34"/>
        <v>0</v>
      </c>
      <c r="AY62" s="78">
        <f t="shared" si="34"/>
        <v>0</v>
      </c>
      <c r="AZ62" s="78">
        <f t="shared" si="34"/>
        <v>0</v>
      </c>
      <c r="BA62" s="78">
        <f t="shared" si="34"/>
        <v>0</v>
      </c>
      <c r="BB62" s="78">
        <f t="shared" si="34"/>
        <v>0</v>
      </c>
      <c r="BC62" s="78">
        <f t="shared" si="34"/>
        <v>0</v>
      </c>
      <c r="BD62" s="78">
        <f t="shared" si="34"/>
        <v>0</v>
      </c>
      <c r="BE62" s="78">
        <f t="shared" si="34"/>
        <v>0</v>
      </c>
      <c r="BF62" s="78">
        <f t="shared" si="34"/>
        <v>0</v>
      </c>
      <c r="BG62" s="78">
        <f t="shared" si="34"/>
        <v>0</v>
      </c>
      <c r="BH62" s="78">
        <f t="shared" si="34"/>
        <v>0</v>
      </c>
      <c r="BI62" s="78">
        <f t="shared" si="34"/>
        <v>0</v>
      </c>
      <c r="BJ62" s="78">
        <f t="shared" si="34"/>
        <v>0</v>
      </c>
      <c r="BK62" s="78">
        <f t="shared" si="34"/>
        <v>0</v>
      </c>
      <c r="BL62" s="78">
        <f t="shared" si="34"/>
        <v>0</v>
      </c>
      <c r="BM62" s="78">
        <f t="shared" si="34"/>
        <v>0</v>
      </c>
      <c r="BN62" s="78">
        <f t="shared" si="34"/>
        <v>0</v>
      </c>
      <c r="BO62" s="78">
        <f t="shared" si="34"/>
        <v>0</v>
      </c>
      <c r="BP62" s="78">
        <f t="shared" si="34"/>
        <v>0</v>
      </c>
      <c r="BQ62" s="78">
        <f t="shared" si="34"/>
        <v>0</v>
      </c>
      <c r="BR62" s="78">
        <f t="shared" ref="BR62:BY62" si="35" xml:space="preserve"> BR$53</f>
        <v>0</v>
      </c>
      <c r="BS62" s="78">
        <f t="shared" si="35"/>
        <v>0</v>
      </c>
      <c r="BT62" s="78">
        <f t="shared" si="35"/>
        <v>0</v>
      </c>
      <c r="BU62" s="78">
        <f t="shared" si="35"/>
        <v>0</v>
      </c>
      <c r="BV62" s="78">
        <f t="shared" si="35"/>
        <v>0</v>
      </c>
      <c r="BW62" s="78">
        <f t="shared" si="35"/>
        <v>0</v>
      </c>
      <c r="BX62" s="78">
        <f t="shared" si="35"/>
        <v>0</v>
      </c>
      <c r="BY62" s="78">
        <f t="shared" si="35"/>
        <v>0</v>
      </c>
    </row>
    <row r="63" spans="1:77" s="18" customFormat="1">
      <c r="A63" s="4"/>
      <c r="B63" s="8"/>
      <c r="C63" s="76"/>
      <c r="D63" s="17"/>
      <c r="E63" s="19" t="str">
        <f xml:space="preserve"> E$43</f>
        <v>Forecast period flag</v>
      </c>
      <c r="F63" s="19">
        <f t="shared" ref="F63:BQ63" si="36" xml:space="preserve"> F$43</f>
        <v>0</v>
      </c>
      <c r="G63" s="19" t="str">
        <f t="shared" si="36"/>
        <v>flag</v>
      </c>
      <c r="H63" s="19">
        <f t="shared" si="36"/>
        <v>6</v>
      </c>
      <c r="I63" s="19">
        <f t="shared" si="36"/>
        <v>0</v>
      </c>
      <c r="J63" s="19">
        <f t="shared" si="36"/>
        <v>0</v>
      </c>
      <c r="K63" s="19">
        <f t="shared" si="36"/>
        <v>0</v>
      </c>
      <c r="L63" s="19">
        <f t="shared" si="36"/>
        <v>0</v>
      </c>
      <c r="M63" s="19">
        <f t="shared" si="36"/>
        <v>0</v>
      </c>
      <c r="N63" s="19">
        <f t="shared" si="36"/>
        <v>0</v>
      </c>
      <c r="O63" s="19">
        <f t="shared" si="36"/>
        <v>0</v>
      </c>
      <c r="P63" s="19">
        <f t="shared" si="36"/>
        <v>1</v>
      </c>
      <c r="Q63" s="19">
        <f t="shared" si="36"/>
        <v>1</v>
      </c>
      <c r="R63" s="19">
        <f t="shared" si="36"/>
        <v>1</v>
      </c>
      <c r="S63" s="19">
        <f t="shared" si="36"/>
        <v>1</v>
      </c>
      <c r="T63" s="19">
        <f t="shared" si="36"/>
        <v>1</v>
      </c>
      <c r="U63" s="19">
        <f t="shared" si="36"/>
        <v>1</v>
      </c>
      <c r="V63" s="19">
        <f t="shared" si="36"/>
        <v>0</v>
      </c>
      <c r="W63" s="19">
        <f t="shared" si="36"/>
        <v>0</v>
      </c>
      <c r="X63" s="19">
        <f t="shared" si="36"/>
        <v>0</v>
      </c>
      <c r="Y63" s="19">
        <f t="shared" si="36"/>
        <v>0</v>
      </c>
      <c r="Z63" s="19">
        <f t="shared" si="36"/>
        <v>0</v>
      </c>
      <c r="AA63" s="19">
        <f t="shared" si="36"/>
        <v>0</v>
      </c>
      <c r="AB63" s="19">
        <f t="shared" si="36"/>
        <v>0</v>
      </c>
      <c r="AC63" s="19">
        <f t="shared" si="36"/>
        <v>0</v>
      </c>
      <c r="AD63" s="19">
        <f t="shared" si="36"/>
        <v>0</v>
      </c>
      <c r="AE63" s="19">
        <f t="shared" si="36"/>
        <v>0</v>
      </c>
      <c r="AF63" s="19">
        <f t="shared" si="36"/>
        <v>0</v>
      </c>
      <c r="AG63" s="19">
        <f t="shared" si="36"/>
        <v>0</v>
      </c>
      <c r="AH63" s="19">
        <f t="shared" si="36"/>
        <v>0</v>
      </c>
      <c r="AI63" s="19">
        <f t="shared" si="36"/>
        <v>0</v>
      </c>
      <c r="AJ63" s="19">
        <f t="shared" si="36"/>
        <v>0</v>
      </c>
      <c r="AK63" s="19">
        <f t="shared" si="36"/>
        <v>0</v>
      </c>
      <c r="AL63" s="19">
        <f t="shared" si="36"/>
        <v>0</v>
      </c>
      <c r="AM63" s="19">
        <f t="shared" si="36"/>
        <v>0</v>
      </c>
      <c r="AN63" s="19">
        <f t="shared" si="36"/>
        <v>0</v>
      </c>
      <c r="AO63" s="19">
        <f t="shared" si="36"/>
        <v>0</v>
      </c>
      <c r="AP63" s="19">
        <f t="shared" si="36"/>
        <v>0</v>
      </c>
      <c r="AQ63" s="19">
        <f t="shared" si="36"/>
        <v>0</v>
      </c>
      <c r="AR63" s="19">
        <f t="shared" si="36"/>
        <v>0</v>
      </c>
      <c r="AS63" s="19">
        <f t="shared" si="36"/>
        <v>0</v>
      </c>
      <c r="AT63" s="19">
        <f t="shared" si="36"/>
        <v>0</v>
      </c>
      <c r="AU63" s="19">
        <f t="shared" si="36"/>
        <v>0</v>
      </c>
      <c r="AV63" s="19">
        <f t="shared" si="36"/>
        <v>0</v>
      </c>
      <c r="AW63" s="19">
        <f t="shared" si="36"/>
        <v>0</v>
      </c>
      <c r="AX63" s="19">
        <f t="shared" si="36"/>
        <v>0</v>
      </c>
      <c r="AY63" s="19">
        <f t="shared" si="36"/>
        <v>0</v>
      </c>
      <c r="AZ63" s="19">
        <f t="shared" si="36"/>
        <v>0</v>
      </c>
      <c r="BA63" s="19">
        <f t="shared" si="36"/>
        <v>0</v>
      </c>
      <c r="BB63" s="19">
        <f t="shared" si="36"/>
        <v>0</v>
      </c>
      <c r="BC63" s="19">
        <f t="shared" si="36"/>
        <v>0</v>
      </c>
      <c r="BD63" s="19">
        <f t="shared" si="36"/>
        <v>0</v>
      </c>
      <c r="BE63" s="19">
        <f t="shared" si="36"/>
        <v>0</v>
      </c>
      <c r="BF63" s="19">
        <f t="shared" si="36"/>
        <v>0</v>
      </c>
      <c r="BG63" s="19">
        <f t="shared" si="36"/>
        <v>0</v>
      </c>
      <c r="BH63" s="19">
        <f t="shared" si="36"/>
        <v>0</v>
      </c>
      <c r="BI63" s="19">
        <f t="shared" si="36"/>
        <v>0</v>
      </c>
      <c r="BJ63" s="19">
        <f t="shared" si="36"/>
        <v>0</v>
      </c>
      <c r="BK63" s="19">
        <f t="shared" si="36"/>
        <v>0</v>
      </c>
      <c r="BL63" s="19">
        <f t="shared" si="36"/>
        <v>0</v>
      </c>
      <c r="BM63" s="19">
        <f t="shared" si="36"/>
        <v>0</v>
      </c>
      <c r="BN63" s="19">
        <f t="shared" si="36"/>
        <v>0</v>
      </c>
      <c r="BO63" s="19">
        <f t="shared" si="36"/>
        <v>0</v>
      </c>
      <c r="BP63" s="19">
        <f t="shared" si="36"/>
        <v>0</v>
      </c>
      <c r="BQ63" s="19">
        <f t="shared" si="36"/>
        <v>0</v>
      </c>
      <c r="BR63" s="19">
        <f t="shared" ref="BR63:BY63" si="37" xml:space="preserve"> BR$43</f>
        <v>0</v>
      </c>
      <c r="BS63" s="19">
        <f t="shared" si="37"/>
        <v>0</v>
      </c>
      <c r="BT63" s="19">
        <f t="shared" si="37"/>
        <v>0</v>
      </c>
      <c r="BU63" s="19">
        <f t="shared" si="37"/>
        <v>0</v>
      </c>
      <c r="BV63" s="19">
        <f t="shared" si="37"/>
        <v>0</v>
      </c>
      <c r="BW63" s="19">
        <f t="shared" si="37"/>
        <v>0</v>
      </c>
      <c r="BX63" s="19">
        <f t="shared" si="37"/>
        <v>0</v>
      </c>
      <c r="BY63" s="19">
        <f t="shared" si="37"/>
        <v>0</v>
      </c>
    </row>
    <row r="64" spans="1:77" s="79" customFormat="1">
      <c r="C64" s="80"/>
      <c r="D64" s="81"/>
      <c r="E64" s="82" t="s">
        <v>32</v>
      </c>
      <c r="F64" s="83"/>
      <c r="G64" s="82" t="s">
        <v>26</v>
      </c>
      <c r="H64" s="83"/>
      <c r="J64" s="26" t="str">
        <f xml:space="preserve"> IF(J62 = 1, "Pre-forecast", IF(J63 = 1, "Forecast", "Post-Frcst"))</f>
        <v>Pre-forecast</v>
      </c>
      <c r="K64" s="26" t="str">
        <f t="shared" ref="K64:BV64" si="38" xml:space="preserve"> IF(K62 = 1, "Pre-forecast", IF(K63 = 1, "Forecast", "Post-Frcst"))</f>
        <v>Pre-forecast</v>
      </c>
      <c r="L64" s="26" t="str">
        <f t="shared" si="38"/>
        <v>Pre-forecast</v>
      </c>
      <c r="M64" s="26" t="str">
        <f t="shared" si="38"/>
        <v>Pre-forecast</v>
      </c>
      <c r="N64" s="26" t="str">
        <f t="shared" si="38"/>
        <v>Pre-forecast</v>
      </c>
      <c r="O64" s="26" t="str">
        <f t="shared" si="38"/>
        <v>Pre-forecast</v>
      </c>
      <c r="P64" s="26" t="str">
        <f t="shared" si="38"/>
        <v>Forecast</v>
      </c>
      <c r="Q64" s="26" t="str">
        <f t="shared" si="38"/>
        <v>Forecast</v>
      </c>
      <c r="R64" s="26" t="str">
        <f t="shared" si="38"/>
        <v>Forecast</v>
      </c>
      <c r="S64" s="26" t="str">
        <f t="shared" si="38"/>
        <v>Forecast</v>
      </c>
      <c r="T64" s="26" t="str">
        <f t="shared" si="38"/>
        <v>Forecast</v>
      </c>
      <c r="U64" s="26" t="str">
        <f t="shared" si="38"/>
        <v>Forecast</v>
      </c>
      <c r="V64" s="26" t="str">
        <f t="shared" si="38"/>
        <v>Post-Frcst</v>
      </c>
      <c r="W64" s="26" t="str">
        <f t="shared" si="38"/>
        <v>Post-Frcst</v>
      </c>
      <c r="X64" s="26" t="str">
        <f t="shared" si="38"/>
        <v>Post-Frcst</v>
      </c>
      <c r="Y64" s="26" t="str">
        <f t="shared" si="38"/>
        <v>Post-Frcst</v>
      </c>
      <c r="Z64" s="26" t="str">
        <f t="shared" si="38"/>
        <v>Post-Frcst</v>
      </c>
      <c r="AA64" s="26" t="str">
        <f t="shared" si="38"/>
        <v>Post-Frcst</v>
      </c>
      <c r="AB64" s="26" t="str">
        <f t="shared" si="38"/>
        <v>Post-Frcst</v>
      </c>
      <c r="AC64" s="26" t="str">
        <f t="shared" si="38"/>
        <v>Post-Frcst</v>
      </c>
      <c r="AD64" s="26" t="str">
        <f t="shared" si="38"/>
        <v>Post-Frcst</v>
      </c>
      <c r="AE64" s="26" t="str">
        <f t="shared" si="38"/>
        <v>Post-Frcst</v>
      </c>
      <c r="AF64" s="26" t="str">
        <f t="shared" si="38"/>
        <v>Post-Frcst</v>
      </c>
      <c r="AG64" s="26" t="str">
        <f t="shared" si="38"/>
        <v>Post-Frcst</v>
      </c>
      <c r="AH64" s="26" t="str">
        <f t="shared" si="38"/>
        <v>Post-Frcst</v>
      </c>
      <c r="AI64" s="26" t="str">
        <f t="shared" si="38"/>
        <v>Post-Frcst</v>
      </c>
      <c r="AJ64" s="26" t="str">
        <f t="shared" si="38"/>
        <v>Post-Frcst</v>
      </c>
      <c r="AK64" s="26" t="str">
        <f t="shared" si="38"/>
        <v>Post-Frcst</v>
      </c>
      <c r="AL64" s="26" t="str">
        <f t="shared" si="38"/>
        <v>Post-Frcst</v>
      </c>
      <c r="AM64" s="26" t="str">
        <f t="shared" si="38"/>
        <v>Post-Frcst</v>
      </c>
      <c r="AN64" s="26" t="str">
        <f t="shared" si="38"/>
        <v>Post-Frcst</v>
      </c>
      <c r="AO64" s="26" t="str">
        <f t="shared" si="38"/>
        <v>Post-Frcst</v>
      </c>
      <c r="AP64" s="26" t="str">
        <f t="shared" si="38"/>
        <v>Post-Frcst</v>
      </c>
      <c r="AQ64" s="26" t="str">
        <f t="shared" si="38"/>
        <v>Post-Frcst</v>
      </c>
      <c r="AR64" s="26" t="str">
        <f t="shared" si="38"/>
        <v>Post-Frcst</v>
      </c>
      <c r="AS64" s="26" t="str">
        <f t="shared" si="38"/>
        <v>Post-Frcst</v>
      </c>
      <c r="AT64" s="26" t="str">
        <f t="shared" si="38"/>
        <v>Post-Frcst</v>
      </c>
      <c r="AU64" s="26" t="str">
        <f t="shared" si="38"/>
        <v>Post-Frcst</v>
      </c>
      <c r="AV64" s="26" t="str">
        <f t="shared" si="38"/>
        <v>Post-Frcst</v>
      </c>
      <c r="AW64" s="26" t="str">
        <f t="shared" si="38"/>
        <v>Post-Frcst</v>
      </c>
      <c r="AX64" s="26" t="str">
        <f t="shared" si="38"/>
        <v>Post-Frcst</v>
      </c>
      <c r="AY64" s="26" t="str">
        <f t="shared" si="38"/>
        <v>Post-Frcst</v>
      </c>
      <c r="AZ64" s="26" t="str">
        <f t="shared" si="38"/>
        <v>Post-Frcst</v>
      </c>
      <c r="BA64" s="26" t="str">
        <f t="shared" si="38"/>
        <v>Post-Frcst</v>
      </c>
      <c r="BB64" s="26" t="str">
        <f t="shared" si="38"/>
        <v>Post-Frcst</v>
      </c>
      <c r="BC64" s="26" t="str">
        <f t="shared" si="38"/>
        <v>Post-Frcst</v>
      </c>
      <c r="BD64" s="26" t="str">
        <f t="shared" si="38"/>
        <v>Post-Frcst</v>
      </c>
      <c r="BE64" s="26" t="str">
        <f t="shared" si="38"/>
        <v>Post-Frcst</v>
      </c>
      <c r="BF64" s="26" t="str">
        <f t="shared" si="38"/>
        <v>Post-Frcst</v>
      </c>
      <c r="BG64" s="26" t="str">
        <f t="shared" si="38"/>
        <v>Post-Frcst</v>
      </c>
      <c r="BH64" s="26" t="str">
        <f t="shared" si="38"/>
        <v>Post-Frcst</v>
      </c>
      <c r="BI64" s="26" t="str">
        <f t="shared" si="38"/>
        <v>Post-Frcst</v>
      </c>
      <c r="BJ64" s="26" t="str">
        <f t="shared" si="38"/>
        <v>Post-Frcst</v>
      </c>
      <c r="BK64" s="26" t="str">
        <f t="shared" si="38"/>
        <v>Post-Frcst</v>
      </c>
      <c r="BL64" s="26" t="str">
        <f t="shared" si="38"/>
        <v>Post-Frcst</v>
      </c>
      <c r="BM64" s="26" t="str">
        <f t="shared" si="38"/>
        <v>Post-Frcst</v>
      </c>
      <c r="BN64" s="26" t="str">
        <f t="shared" si="38"/>
        <v>Post-Frcst</v>
      </c>
      <c r="BO64" s="26" t="str">
        <f t="shared" si="38"/>
        <v>Post-Frcst</v>
      </c>
      <c r="BP64" s="26" t="str">
        <f t="shared" si="38"/>
        <v>Post-Frcst</v>
      </c>
      <c r="BQ64" s="26" t="str">
        <f t="shared" si="38"/>
        <v>Post-Frcst</v>
      </c>
      <c r="BR64" s="26" t="str">
        <f t="shared" si="38"/>
        <v>Post-Frcst</v>
      </c>
      <c r="BS64" s="26" t="str">
        <f t="shared" si="38"/>
        <v>Post-Frcst</v>
      </c>
      <c r="BT64" s="26" t="str">
        <f t="shared" si="38"/>
        <v>Post-Frcst</v>
      </c>
      <c r="BU64" s="26" t="str">
        <f t="shared" si="38"/>
        <v>Post-Frcst</v>
      </c>
      <c r="BV64" s="26" t="str">
        <f t="shared" si="38"/>
        <v>Post-Frcst</v>
      </c>
      <c r="BW64" s="26" t="str">
        <f xml:space="preserve"> IF(BW62 = 1, "Pre-forecast", IF(BW63 = 1, "Forecast", "Post-Frcst"))</f>
        <v>Post-Frcst</v>
      </c>
      <c r="BX64" s="26" t="str">
        <f xml:space="preserve"> IF(BX62 = 1, "Pre-forecast", IF(BX63 = 1, "Forecast", "Post-Frcst"))</f>
        <v>Post-Frcst</v>
      </c>
      <c r="BY64" s="26" t="str">
        <f xml:space="preserve"> IF(BY62 = 1, "Pre-forecast", IF(BY63 = 1, "Forecast", "Post-Frcst"))</f>
        <v>Post-Frcst</v>
      </c>
    </row>
  </sheetData>
  <phoneticPr fontId="5" type="noConversion"/>
  <conditionalFormatting sqref="F2">
    <cfRule type="cellIs" dxfId="7" priority="1" stopIfTrue="1" operator="notEqual">
      <formula>0</formula>
    </cfRule>
    <cfRule type="cellIs" dxfId="6" priority="2" stopIfTrue="1" operator="equal">
      <formula>""</formula>
    </cfRule>
  </conditionalFormatting>
  <conditionalFormatting sqref="J3:BY3">
    <cfRule type="cellIs" dxfId="5" priority="7" stopIfTrue="1" operator="equal">
      <formula>"Pre-forecast"</formula>
    </cfRule>
    <cfRule type="cellIs" dxfId="4" priority="8"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indexed="13"/>
    <outlinePr summaryBelow="0" summaryRight="0"/>
  </sheetPr>
  <dimension ref="A1:CA37"/>
  <sheetViews>
    <sheetView defaultGridColor="0" colorId="22" zoomScale="80" workbookViewId="0">
      <pane xSplit="9" ySplit="5" topLeftCell="J6" activePane="bottomRight" state="frozen"/>
      <selection activeCell="F2" sqref="F2"/>
      <selection pane="topRight" activeCell="F2" sqref="F2"/>
      <selection pane="bottomLeft" activeCell="F2" sqref="F2"/>
      <selection pane="bottomRight" activeCell="F2" sqref="F2"/>
    </sheetView>
  </sheetViews>
  <sheetFormatPr defaultColWidth="0" defaultRowHeight="12.75"/>
  <cols>
    <col min="1" max="1" width="1.28515625" style="10" customWidth="1"/>
    <col min="2" max="2" width="1.28515625" style="4" customWidth="1"/>
    <col min="3" max="3" width="1.28515625" style="16" customWidth="1"/>
    <col min="4" max="4" width="1.28515625" style="61" customWidth="1"/>
    <col min="5" max="5" width="40.7109375" style="58" customWidth="1"/>
    <col min="6" max="6" width="12.7109375" style="58" customWidth="1"/>
    <col min="7" max="8" width="11.7109375" style="58" customWidth="1"/>
    <col min="9" max="9" width="2.7109375" style="58" customWidth="1"/>
    <col min="10" max="23" width="11.7109375" style="58" customWidth="1"/>
    <col min="24" max="77" width="11.7109375" style="58" hidden="1" customWidth="1"/>
    <col min="78" max="16384" width="0" style="58" hidden="1"/>
  </cols>
  <sheetData>
    <row r="1" spans="1:77" s="78" customFormat="1" ht="26.25">
      <c r="A1" s="75" t="str">
        <f ca="1" xml:space="preserve"> RIGHT(CELL("filename", A1), LEN(CELL("filename", A1)) - SEARCH("]", CELL("filename", A1)))</f>
        <v>Temp</v>
      </c>
      <c r="B1" s="4"/>
      <c r="C1" s="76"/>
      <c r="D1" s="77"/>
    </row>
    <row r="2" spans="1:77" s="79" customFormat="1">
      <c r="C2" s="80"/>
      <c r="D2" s="81"/>
      <c r="E2" s="82" t="str">
        <f xml:space="preserve"> Time!E$19</f>
        <v xml:space="preserve">Model period ending </v>
      </c>
      <c r="F2" s="193">
        <f xml:space="preserve"> FinStat!$F$69</f>
        <v>0</v>
      </c>
      <c r="G2" s="194" t="s">
        <v>56</v>
      </c>
      <c r="H2" s="83"/>
      <c r="J2" s="79">
        <f xml:space="preserve"> Time!J$19</f>
        <v>40178</v>
      </c>
      <c r="K2" s="79">
        <f xml:space="preserve"> Time!K$19</f>
        <v>40543</v>
      </c>
      <c r="L2" s="79">
        <f xml:space="preserve"> Time!L$19</f>
        <v>40908</v>
      </c>
      <c r="M2" s="79">
        <f xml:space="preserve"> Time!M$19</f>
        <v>41274</v>
      </c>
      <c r="N2" s="79">
        <f xml:space="preserve"> Time!N$19</f>
        <v>41639</v>
      </c>
      <c r="O2" s="79">
        <f xml:space="preserve"> Time!O$19</f>
        <v>42004</v>
      </c>
      <c r="P2" s="79">
        <f xml:space="preserve"> Time!P$19</f>
        <v>42369</v>
      </c>
      <c r="Q2" s="79">
        <f xml:space="preserve"> Time!Q$19</f>
        <v>42735</v>
      </c>
      <c r="R2" s="79">
        <f xml:space="preserve"> Time!R$19</f>
        <v>43100</v>
      </c>
      <c r="S2" s="79">
        <f xml:space="preserve"> Time!S$19</f>
        <v>43465</v>
      </c>
      <c r="T2" s="79">
        <f xml:space="preserve"> Time!T$19</f>
        <v>43830</v>
      </c>
      <c r="U2" s="79">
        <f xml:space="preserve"> Time!U$19</f>
        <v>44196</v>
      </c>
      <c r="V2" s="79">
        <f xml:space="preserve"> Time!V$19</f>
        <v>44561</v>
      </c>
      <c r="W2" s="79">
        <f xml:space="preserve"> Time!W$19</f>
        <v>44926</v>
      </c>
      <c r="X2" s="79">
        <f xml:space="preserve"> Time!X$19</f>
        <v>45291</v>
      </c>
      <c r="Y2" s="79">
        <f xml:space="preserve"> Time!Y$19</f>
        <v>45657</v>
      </c>
      <c r="Z2" s="79">
        <f xml:space="preserve"> Time!Z$19</f>
        <v>46022</v>
      </c>
      <c r="AA2" s="79">
        <f xml:space="preserve"> Time!AA$19</f>
        <v>46387</v>
      </c>
      <c r="AB2" s="79">
        <f xml:space="preserve"> Time!AB$19</f>
        <v>46752</v>
      </c>
      <c r="AC2" s="79">
        <f xml:space="preserve"> Time!AC$19</f>
        <v>47118</v>
      </c>
      <c r="AD2" s="79">
        <f xml:space="preserve"> Time!AD$19</f>
        <v>47483</v>
      </c>
      <c r="AE2" s="79">
        <f xml:space="preserve"> Time!AE$19</f>
        <v>47848</v>
      </c>
      <c r="AF2" s="79">
        <f xml:space="preserve"> Time!AF$19</f>
        <v>48213</v>
      </c>
      <c r="AG2" s="79">
        <f xml:space="preserve"> Time!AG$19</f>
        <v>48579</v>
      </c>
      <c r="AH2" s="79">
        <f xml:space="preserve"> Time!AH$19</f>
        <v>48944</v>
      </c>
      <c r="AI2" s="79">
        <f xml:space="preserve"> Time!AI$19</f>
        <v>49309</v>
      </c>
      <c r="AJ2" s="79">
        <f xml:space="preserve"> Time!AJ$19</f>
        <v>49674</v>
      </c>
      <c r="AK2" s="79">
        <f xml:space="preserve"> Time!AK$19</f>
        <v>50040</v>
      </c>
      <c r="AL2" s="79">
        <f xml:space="preserve"> Time!AL$19</f>
        <v>50405</v>
      </c>
      <c r="AM2" s="79">
        <f xml:space="preserve"> Time!AM$19</f>
        <v>50770</v>
      </c>
      <c r="AN2" s="79">
        <f xml:space="preserve"> Time!AN$19</f>
        <v>51135</v>
      </c>
      <c r="AO2" s="79">
        <f xml:space="preserve"> Time!AO$19</f>
        <v>51501</v>
      </c>
      <c r="AP2" s="79">
        <f xml:space="preserve"> Time!AP$19</f>
        <v>51866</v>
      </c>
      <c r="AQ2" s="79">
        <f xml:space="preserve"> Time!AQ$19</f>
        <v>52231</v>
      </c>
      <c r="AR2" s="79">
        <f xml:space="preserve"> Time!AR$19</f>
        <v>52596</v>
      </c>
      <c r="AS2" s="79">
        <f xml:space="preserve"> Time!AS$19</f>
        <v>52962</v>
      </c>
      <c r="AT2" s="79">
        <f xml:space="preserve"> Time!AT$19</f>
        <v>53327</v>
      </c>
      <c r="AU2" s="79">
        <f xml:space="preserve"> Time!AU$19</f>
        <v>53692</v>
      </c>
      <c r="AV2" s="79">
        <f xml:space="preserve"> Time!AV$19</f>
        <v>54057</v>
      </c>
      <c r="AW2" s="79">
        <f xml:space="preserve"> Time!AW$19</f>
        <v>54423</v>
      </c>
      <c r="AX2" s="79">
        <f xml:space="preserve"> Time!AX$19</f>
        <v>54788</v>
      </c>
      <c r="AY2" s="79">
        <f xml:space="preserve"> Time!AY$19</f>
        <v>55153</v>
      </c>
      <c r="AZ2" s="79">
        <f xml:space="preserve"> Time!AZ$19</f>
        <v>55518</v>
      </c>
      <c r="BA2" s="79">
        <f xml:space="preserve"> Time!BA$19</f>
        <v>55884</v>
      </c>
      <c r="BB2" s="79">
        <f xml:space="preserve"> Time!BB$19</f>
        <v>56249</v>
      </c>
      <c r="BC2" s="79">
        <f xml:space="preserve"> Time!BC$19</f>
        <v>56614</v>
      </c>
      <c r="BD2" s="79">
        <f xml:space="preserve"> Time!BD$19</f>
        <v>56979</v>
      </c>
      <c r="BE2" s="79">
        <f xml:space="preserve"> Time!BE$19</f>
        <v>57345</v>
      </c>
      <c r="BF2" s="79">
        <f xml:space="preserve"> Time!BF$19</f>
        <v>57710</v>
      </c>
      <c r="BG2" s="79">
        <f xml:space="preserve"> Time!BG$19</f>
        <v>58075</v>
      </c>
      <c r="BH2" s="79">
        <f xml:space="preserve"> Time!BH$19</f>
        <v>58440</v>
      </c>
      <c r="BI2" s="79">
        <f xml:space="preserve"> Time!BI$19</f>
        <v>58806</v>
      </c>
      <c r="BJ2" s="79">
        <f xml:space="preserve"> Time!BJ$19</f>
        <v>59171</v>
      </c>
      <c r="BK2" s="79">
        <f xml:space="preserve"> Time!BK$19</f>
        <v>59536</v>
      </c>
      <c r="BL2" s="79">
        <f xml:space="preserve"> Time!BL$19</f>
        <v>59901</v>
      </c>
      <c r="BM2" s="79">
        <f xml:space="preserve"> Time!BM$19</f>
        <v>60267</v>
      </c>
      <c r="BN2" s="79">
        <f xml:space="preserve"> Time!BN$19</f>
        <v>60632</v>
      </c>
      <c r="BO2" s="79">
        <f xml:space="preserve"> Time!BO$19</f>
        <v>60997</v>
      </c>
      <c r="BP2" s="79">
        <f xml:space="preserve"> Time!BP$19</f>
        <v>61362</v>
      </c>
      <c r="BQ2" s="79">
        <f xml:space="preserve"> Time!BQ$19</f>
        <v>61728</v>
      </c>
      <c r="BR2" s="79">
        <f xml:space="preserve"> Time!BR$19</f>
        <v>62093</v>
      </c>
      <c r="BS2" s="79">
        <f xml:space="preserve"> Time!BS$19</f>
        <v>62458</v>
      </c>
      <c r="BT2" s="79">
        <f xml:space="preserve"> Time!BT$19</f>
        <v>62823</v>
      </c>
      <c r="BU2" s="79">
        <f xml:space="preserve"> Time!BU$19</f>
        <v>63189</v>
      </c>
      <c r="BV2" s="79">
        <f xml:space="preserve"> Time!BV$19</f>
        <v>63554</v>
      </c>
      <c r="BW2" s="79">
        <f xml:space="preserve"> Time!BW$19</f>
        <v>63919</v>
      </c>
      <c r="BX2" s="79">
        <f xml:space="preserve"> Time!BX$19</f>
        <v>64284</v>
      </c>
      <c r="BY2" s="79">
        <f xml:space="preserve"> Time!BY$19</f>
        <v>64650</v>
      </c>
    </row>
    <row r="3" spans="1:77" s="79" customFormat="1">
      <c r="C3" s="80"/>
      <c r="D3" s="81"/>
      <c r="E3" s="82" t="str">
        <f xml:space="preserve"> Time!E$64</f>
        <v>Pre-forecast Vs forecast</v>
      </c>
      <c r="F3" s="58"/>
      <c r="G3" s="58"/>
      <c r="H3" s="83"/>
      <c r="J3" s="122" t="str">
        <f xml:space="preserve"> Time!J$64</f>
        <v>Pre-forecast</v>
      </c>
      <c r="K3" s="122" t="str">
        <f xml:space="preserve"> Time!K$64</f>
        <v>Pre-forecast</v>
      </c>
      <c r="L3" s="122" t="str">
        <f xml:space="preserve"> Time!L$64</f>
        <v>Pre-forecast</v>
      </c>
      <c r="M3" s="122" t="str">
        <f xml:space="preserve"> Time!M$64</f>
        <v>Pre-forecast</v>
      </c>
      <c r="N3" s="122" t="str">
        <f xml:space="preserve"> Time!N$64</f>
        <v>Pre-forecast</v>
      </c>
      <c r="O3" s="122" t="str">
        <f xml:space="preserve"> Time!O$64</f>
        <v>Pre-forecast</v>
      </c>
      <c r="P3" s="122" t="str">
        <f xml:space="preserve"> Time!P$64</f>
        <v>Forecast</v>
      </c>
      <c r="Q3" s="122" t="str">
        <f xml:space="preserve"> Time!Q$64</f>
        <v>Forecast</v>
      </c>
      <c r="R3" s="122" t="str">
        <f xml:space="preserve"> Time!R$64</f>
        <v>Forecast</v>
      </c>
      <c r="S3" s="122" t="str">
        <f xml:space="preserve"> Time!S$64</f>
        <v>Forecast</v>
      </c>
      <c r="T3" s="122" t="str">
        <f xml:space="preserve"> Time!T$64</f>
        <v>Forecast</v>
      </c>
      <c r="U3" s="122" t="str">
        <f xml:space="preserve"> Time!U$64</f>
        <v>Forecast</v>
      </c>
      <c r="V3" s="122" t="str">
        <f xml:space="preserve"> Time!V$64</f>
        <v>Post-Frcst</v>
      </c>
      <c r="W3" s="122" t="str">
        <f xml:space="preserve"> Time!W$64</f>
        <v>Post-Frcst</v>
      </c>
      <c r="X3" s="122" t="str">
        <f xml:space="preserve"> Time!X$64</f>
        <v>Post-Frcst</v>
      </c>
      <c r="Y3" s="122" t="str">
        <f xml:space="preserve"> Time!Y$64</f>
        <v>Post-Frcst</v>
      </c>
      <c r="Z3" s="122" t="str">
        <f xml:space="preserve"> Time!Z$64</f>
        <v>Post-Frcst</v>
      </c>
      <c r="AA3" s="122" t="str">
        <f xml:space="preserve"> Time!AA$64</f>
        <v>Post-Frcst</v>
      </c>
      <c r="AB3" s="122" t="str">
        <f xml:space="preserve"> Time!AB$64</f>
        <v>Post-Frcst</v>
      </c>
      <c r="AC3" s="122" t="str">
        <f xml:space="preserve"> Time!AC$64</f>
        <v>Post-Frcst</v>
      </c>
      <c r="AD3" s="122" t="str">
        <f xml:space="preserve"> Time!AD$64</f>
        <v>Post-Frcst</v>
      </c>
      <c r="AE3" s="122" t="str">
        <f xml:space="preserve"> Time!AE$64</f>
        <v>Post-Frcst</v>
      </c>
      <c r="AF3" s="122" t="str">
        <f xml:space="preserve"> Time!AF$64</f>
        <v>Post-Frcst</v>
      </c>
      <c r="AG3" s="122" t="str">
        <f xml:space="preserve"> Time!AG$64</f>
        <v>Post-Frcst</v>
      </c>
      <c r="AH3" s="122" t="str">
        <f xml:space="preserve"> Time!AH$64</f>
        <v>Post-Frcst</v>
      </c>
      <c r="AI3" s="122" t="str">
        <f xml:space="preserve"> Time!AI$64</f>
        <v>Post-Frcst</v>
      </c>
      <c r="AJ3" s="122" t="str">
        <f xml:space="preserve"> Time!AJ$64</f>
        <v>Post-Frcst</v>
      </c>
      <c r="AK3" s="122" t="str">
        <f xml:space="preserve"> Time!AK$64</f>
        <v>Post-Frcst</v>
      </c>
      <c r="AL3" s="122" t="str">
        <f xml:space="preserve"> Time!AL$64</f>
        <v>Post-Frcst</v>
      </c>
      <c r="AM3" s="122" t="str">
        <f xml:space="preserve"> Time!AM$64</f>
        <v>Post-Frcst</v>
      </c>
      <c r="AN3" s="122" t="str">
        <f xml:space="preserve"> Time!AN$64</f>
        <v>Post-Frcst</v>
      </c>
      <c r="AO3" s="122" t="str">
        <f xml:space="preserve"> Time!AO$64</f>
        <v>Post-Frcst</v>
      </c>
      <c r="AP3" s="122" t="str">
        <f xml:space="preserve"> Time!AP$64</f>
        <v>Post-Frcst</v>
      </c>
      <c r="AQ3" s="122" t="str">
        <f xml:space="preserve"> Time!AQ$64</f>
        <v>Post-Frcst</v>
      </c>
      <c r="AR3" s="122" t="str">
        <f xml:space="preserve"> Time!AR$64</f>
        <v>Post-Frcst</v>
      </c>
      <c r="AS3" s="122" t="str">
        <f xml:space="preserve"> Time!AS$64</f>
        <v>Post-Frcst</v>
      </c>
      <c r="AT3" s="122" t="str">
        <f xml:space="preserve"> Time!AT$64</f>
        <v>Post-Frcst</v>
      </c>
      <c r="AU3" s="122" t="str">
        <f xml:space="preserve"> Time!AU$64</f>
        <v>Post-Frcst</v>
      </c>
      <c r="AV3" s="122" t="str">
        <f xml:space="preserve"> Time!AV$64</f>
        <v>Post-Frcst</v>
      </c>
      <c r="AW3" s="122" t="str">
        <f xml:space="preserve"> Time!AW$64</f>
        <v>Post-Frcst</v>
      </c>
      <c r="AX3" s="122" t="str">
        <f xml:space="preserve"> Time!AX$64</f>
        <v>Post-Frcst</v>
      </c>
      <c r="AY3" s="122" t="str">
        <f xml:space="preserve"> Time!AY$64</f>
        <v>Post-Frcst</v>
      </c>
      <c r="AZ3" s="122" t="str">
        <f xml:space="preserve"> Time!AZ$64</f>
        <v>Post-Frcst</v>
      </c>
      <c r="BA3" s="122" t="str">
        <f xml:space="preserve"> Time!BA$64</f>
        <v>Post-Frcst</v>
      </c>
      <c r="BB3" s="122" t="str">
        <f xml:space="preserve"> Time!BB$64</f>
        <v>Post-Frcst</v>
      </c>
      <c r="BC3" s="122" t="str">
        <f xml:space="preserve"> Time!BC$64</f>
        <v>Post-Frcst</v>
      </c>
      <c r="BD3" s="122" t="str">
        <f xml:space="preserve"> Time!BD$64</f>
        <v>Post-Frcst</v>
      </c>
      <c r="BE3" s="122" t="str">
        <f xml:space="preserve"> Time!BE$64</f>
        <v>Post-Frcst</v>
      </c>
      <c r="BF3" s="122" t="str">
        <f xml:space="preserve"> Time!BF$64</f>
        <v>Post-Frcst</v>
      </c>
      <c r="BG3" s="122" t="str">
        <f xml:space="preserve"> Time!BG$64</f>
        <v>Post-Frcst</v>
      </c>
      <c r="BH3" s="122" t="str">
        <f xml:space="preserve"> Time!BH$64</f>
        <v>Post-Frcst</v>
      </c>
      <c r="BI3" s="122" t="str">
        <f xml:space="preserve"> Time!BI$64</f>
        <v>Post-Frcst</v>
      </c>
      <c r="BJ3" s="122" t="str">
        <f xml:space="preserve"> Time!BJ$64</f>
        <v>Post-Frcst</v>
      </c>
      <c r="BK3" s="122" t="str">
        <f xml:space="preserve"> Time!BK$64</f>
        <v>Post-Frcst</v>
      </c>
      <c r="BL3" s="122" t="str">
        <f xml:space="preserve"> Time!BL$64</f>
        <v>Post-Frcst</v>
      </c>
      <c r="BM3" s="122" t="str">
        <f xml:space="preserve"> Time!BM$64</f>
        <v>Post-Frcst</v>
      </c>
      <c r="BN3" s="122" t="str">
        <f xml:space="preserve"> Time!BN$64</f>
        <v>Post-Frcst</v>
      </c>
      <c r="BO3" s="122" t="str">
        <f xml:space="preserve"> Time!BO$64</f>
        <v>Post-Frcst</v>
      </c>
      <c r="BP3" s="122" t="str">
        <f xml:space="preserve"> Time!BP$64</f>
        <v>Post-Frcst</v>
      </c>
      <c r="BQ3" s="122" t="str">
        <f xml:space="preserve"> Time!BQ$64</f>
        <v>Post-Frcst</v>
      </c>
      <c r="BR3" s="122" t="str">
        <f xml:space="preserve"> Time!BR$64</f>
        <v>Post-Frcst</v>
      </c>
      <c r="BS3" s="122" t="str">
        <f xml:space="preserve"> Time!BS$64</f>
        <v>Post-Frcst</v>
      </c>
      <c r="BT3" s="122" t="str">
        <f xml:space="preserve"> Time!BT$64</f>
        <v>Post-Frcst</v>
      </c>
      <c r="BU3" s="122" t="str">
        <f xml:space="preserve"> Time!BU$64</f>
        <v>Post-Frcst</v>
      </c>
      <c r="BV3" s="122" t="str">
        <f xml:space="preserve"> Time!BV$64</f>
        <v>Post-Frcst</v>
      </c>
      <c r="BW3" s="122" t="str">
        <f xml:space="preserve"> Time!BW$64</f>
        <v>Post-Frcst</v>
      </c>
      <c r="BX3" s="122" t="str">
        <f xml:space="preserve"> Time!BX$64</f>
        <v>Post-Frcst</v>
      </c>
      <c r="BY3" s="122" t="str">
        <f xml:space="preserve"> Time!BY$64</f>
        <v>Post-Frcst</v>
      </c>
    </row>
    <row r="4" spans="1:77" s="95" customFormat="1">
      <c r="A4" s="91"/>
      <c r="B4" s="92"/>
      <c r="C4" s="93"/>
      <c r="D4" s="94"/>
      <c r="E4" s="82" t="str">
        <f xml:space="preserve"> Time!E$25</f>
        <v>Financial year ending</v>
      </c>
      <c r="F4" s="58"/>
      <c r="G4" s="58"/>
      <c r="J4" s="95">
        <f xml:space="preserve"> Time!J$25</f>
        <v>2009</v>
      </c>
      <c r="K4" s="95">
        <f xml:space="preserve"> Time!K$25</f>
        <v>2010</v>
      </c>
      <c r="L4" s="95">
        <f xml:space="preserve"> Time!L$25</f>
        <v>2011</v>
      </c>
      <c r="M4" s="95">
        <f xml:space="preserve"> Time!M$25</f>
        <v>2012</v>
      </c>
      <c r="N4" s="95">
        <f xml:space="preserve"> Time!N$25</f>
        <v>2013</v>
      </c>
      <c r="O4" s="95">
        <f xml:space="preserve"> Time!O$25</f>
        <v>2014</v>
      </c>
      <c r="P4" s="95">
        <f xml:space="preserve"> Time!P$25</f>
        <v>2015</v>
      </c>
      <c r="Q4" s="95">
        <f xml:space="preserve"> Time!Q$25</f>
        <v>2016</v>
      </c>
      <c r="R4" s="95">
        <f xml:space="preserve"> Time!R$25</f>
        <v>2017</v>
      </c>
      <c r="S4" s="95">
        <f xml:space="preserve"> Time!S$25</f>
        <v>2018</v>
      </c>
      <c r="T4" s="95">
        <f xml:space="preserve"> Time!T$25</f>
        <v>2019</v>
      </c>
      <c r="U4" s="95">
        <f xml:space="preserve"> Time!U$25</f>
        <v>2020</v>
      </c>
      <c r="V4" s="95">
        <f xml:space="preserve"> Time!V$25</f>
        <v>2021</v>
      </c>
      <c r="W4" s="95">
        <f xml:space="preserve"> Time!W$25</f>
        <v>2022</v>
      </c>
      <c r="X4" s="95">
        <f xml:space="preserve"> Time!X$25</f>
        <v>2023</v>
      </c>
      <c r="Y4" s="95">
        <f xml:space="preserve"> Time!Y$25</f>
        <v>2024</v>
      </c>
      <c r="Z4" s="95">
        <f xml:space="preserve"> Time!Z$25</f>
        <v>2025</v>
      </c>
      <c r="AA4" s="95">
        <f xml:space="preserve"> Time!AA$25</f>
        <v>2026</v>
      </c>
      <c r="AB4" s="95">
        <f xml:space="preserve"> Time!AB$25</f>
        <v>2027</v>
      </c>
      <c r="AC4" s="95">
        <f xml:space="preserve"> Time!AC$25</f>
        <v>2028</v>
      </c>
      <c r="AD4" s="95">
        <f xml:space="preserve"> Time!AD$25</f>
        <v>2029</v>
      </c>
      <c r="AE4" s="95">
        <f xml:space="preserve"> Time!AE$25</f>
        <v>2030</v>
      </c>
      <c r="AF4" s="95">
        <f xml:space="preserve"> Time!AF$25</f>
        <v>2031</v>
      </c>
      <c r="AG4" s="95">
        <f xml:space="preserve"> Time!AG$25</f>
        <v>2032</v>
      </c>
      <c r="AH4" s="95">
        <f xml:space="preserve"> Time!AH$25</f>
        <v>2033</v>
      </c>
      <c r="AI4" s="95">
        <f xml:space="preserve"> Time!AI$25</f>
        <v>2034</v>
      </c>
      <c r="AJ4" s="95">
        <f xml:space="preserve"> Time!AJ$25</f>
        <v>2035</v>
      </c>
      <c r="AK4" s="95">
        <f xml:space="preserve"> Time!AK$25</f>
        <v>2036</v>
      </c>
      <c r="AL4" s="95">
        <f xml:space="preserve"> Time!AL$25</f>
        <v>2037</v>
      </c>
      <c r="AM4" s="95">
        <f xml:space="preserve"> Time!AM$25</f>
        <v>2038</v>
      </c>
      <c r="AN4" s="95">
        <f xml:space="preserve"> Time!AN$25</f>
        <v>2039</v>
      </c>
      <c r="AO4" s="95">
        <f xml:space="preserve"> Time!AO$25</f>
        <v>2040</v>
      </c>
      <c r="AP4" s="95">
        <f xml:space="preserve"> Time!AP$25</f>
        <v>2041</v>
      </c>
      <c r="AQ4" s="95">
        <f xml:space="preserve"> Time!AQ$25</f>
        <v>2042</v>
      </c>
      <c r="AR4" s="95">
        <f xml:space="preserve"> Time!AR$25</f>
        <v>2043</v>
      </c>
      <c r="AS4" s="95">
        <f xml:space="preserve"> Time!AS$25</f>
        <v>2044</v>
      </c>
      <c r="AT4" s="95">
        <f xml:space="preserve"> Time!AT$25</f>
        <v>2045</v>
      </c>
      <c r="AU4" s="95">
        <f xml:space="preserve"> Time!AU$25</f>
        <v>2046</v>
      </c>
      <c r="AV4" s="95">
        <f xml:space="preserve"> Time!AV$25</f>
        <v>2047</v>
      </c>
      <c r="AW4" s="95">
        <f xml:space="preserve"> Time!AW$25</f>
        <v>2048</v>
      </c>
      <c r="AX4" s="95">
        <f xml:space="preserve"> Time!AX$25</f>
        <v>2049</v>
      </c>
      <c r="AY4" s="95">
        <f xml:space="preserve"> Time!AY$25</f>
        <v>2050</v>
      </c>
      <c r="AZ4" s="95">
        <f xml:space="preserve"> Time!AZ$25</f>
        <v>2051</v>
      </c>
      <c r="BA4" s="95">
        <f xml:space="preserve"> Time!BA$25</f>
        <v>2052</v>
      </c>
      <c r="BB4" s="95">
        <f xml:space="preserve"> Time!BB$25</f>
        <v>2053</v>
      </c>
      <c r="BC4" s="95">
        <f xml:space="preserve"> Time!BC$25</f>
        <v>2054</v>
      </c>
      <c r="BD4" s="95">
        <f xml:space="preserve"> Time!BD$25</f>
        <v>2055</v>
      </c>
      <c r="BE4" s="95">
        <f xml:space="preserve"> Time!BE$25</f>
        <v>2056</v>
      </c>
      <c r="BF4" s="95">
        <f xml:space="preserve"> Time!BF$25</f>
        <v>2057</v>
      </c>
      <c r="BG4" s="95">
        <f xml:space="preserve"> Time!BG$25</f>
        <v>2058</v>
      </c>
      <c r="BH4" s="95">
        <f xml:space="preserve"> Time!BH$25</f>
        <v>2059</v>
      </c>
      <c r="BI4" s="95">
        <f xml:space="preserve"> Time!BI$25</f>
        <v>2060</v>
      </c>
      <c r="BJ4" s="95">
        <f xml:space="preserve"> Time!BJ$25</f>
        <v>2061</v>
      </c>
      <c r="BK4" s="95">
        <f xml:space="preserve"> Time!BK$25</f>
        <v>2062</v>
      </c>
      <c r="BL4" s="95">
        <f xml:space="preserve"> Time!BL$25</f>
        <v>2063</v>
      </c>
      <c r="BM4" s="95">
        <f xml:space="preserve"> Time!BM$25</f>
        <v>2064</v>
      </c>
      <c r="BN4" s="95">
        <f xml:space="preserve"> Time!BN$25</f>
        <v>2065</v>
      </c>
      <c r="BO4" s="95">
        <f xml:space="preserve"> Time!BO$25</f>
        <v>2066</v>
      </c>
      <c r="BP4" s="95">
        <f xml:space="preserve"> Time!BP$25</f>
        <v>2067</v>
      </c>
      <c r="BQ4" s="95">
        <f xml:space="preserve"> Time!BQ$25</f>
        <v>2068</v>
      </c>
      <c r="BR4" s="95">
        <f xml:space="preserve"> Time!BR$25</f>
        <v>2069</v>
      </c>
      <c r="BS4" s="95">
        <f xml:space="preserve"> Time!BS$25</f>
        <v>2070</v>
      </c>
      <c r="BT4" s="95">
        <f xml:space="preserve"> Time!BT$25</f>
        <v>2071</v>
      </c>
      <c r="BU4" s="95">
        <f xml:space="preserve"> Time!BU$25</f>
        <v>2072</v>
      </c>
      <c r="BV4" s="95">
        <f xml:space="preserve"> Time!BV$25</f>
        <v>2073</v>
      </c>
      <c r="BW4" s="95">
        <f xml:space="preserve"> Time!BW$25</f>
        <v>2074</v>
      </c>
      <c r="BX4" s="95">
        <f xml:space="preserve"> Time!BX$25</f>
        <v>2075</v>
      </c>
      <c r="BY4" s="95">
        <f xml:space="preserve"> Time!BY$25</f>
        <v>2076</v>
      </c>
    </row>
    <row r="5" spans="1:77" s="87" customFormat="1">
      <c r="A5" s="84"/>
      <c r="B5" s="84"/>
      <c r="C5" s="85"/>
      <c r="D5" s="86"/>
      <c r="E5" s="82" t="str">
        <f>Time!E$9</f>
        <v>Model column counter</v>
      </c>
      <c r="F5" s="84" t="s">
        <v>21</v>
      </c>
      <c r="G5" s="84" t="s">
        <v>22</v>
      </c>
      <c r="H5" s="121" t="s">
        <v>23</v>
      </c>
      <c r="J5" s="87">
        <f>Time!J$9</f>
        <v>1</v>
      </c>
      <c r="K5" s="87">
        <f>Time!K$9</f>
        <v>2</v>
      </c>
      <c r="L5" s="87">
        <f>Time!L$9</f>
        <v>3</v>
      </c>
      <c r="M5" s="87">
        <f>Time!M$9</f>
        <v>4</v>
      </c>
      <c r="N5" s="87">
        <f>Time!N$9</f>
        <v>5</v>
      </c>
      <c r="O5" s="87">
        <f>Time!O$9</f>
        <v>6</v>
      </c>
      <c r="P5" s="87">
        <f>Time!P$9</f>
        <v>7</v>
      </c>
      <c r="Q5" s="87">
        <f>Time!Q$9</f>
        <v>8</v>
      </c>
      <c r="R5" s="87">
        <f>Time!R$9</f>
        <v>9</v>
      </c>
      <c r="S5" s="87">
        <f>Time!S$9</f>
        <v>10</v>
      </c>
      <c r="T5" s="87">
        <f>Time!T$9</f>
        <v>11</v>
      </c>
      <c r="U5" s="87">
        <f>Time!U$9</f>
        <v>12</v>
      </c>
      <c r="V5" s="87">
        <f>Time!V$9</f>
        <v>13</v>
      </c>
      <c r="W5" s="87">
        <f>Time!W$9</f>
        <v>14</v>
      </c>
      <c r="X5" s="87">
        <f>Time!X$9</f>
        <v>15</v>
      </c>
      <c r="Y5" s="87">
        <f>Time!Y$9</f>
        <v>16</v>
      </c>
      <c r="Z5" s="87">
        <f>Time!Z$9</f>
        <v>17</v>
      </c>
      <c r="AA5" s="87">
        <f>Time!AA$9</f>
        <v>18</v>
      </c>
      <c r="AB5" s="87">
        <f>Time!AB$9</f>
        <v>19</v>
      </c>
      <c r="AC5" s="87">
        <f>Time!AC$9</f>
        <v>20</v>
      </c>
      <c r="AD5" s="87">
        <f>Time!AD$9</f>
        <v>21</v>
      </c>
      <c r="AE5" s="87">
        <f>Time!AE$9</f>
        <v>22</v>
      </c>
      <c r="AF5" s="87">
        <f>Time!AF$9</f>
        <v>23</v>
      </c>
      <c r="AG5" s="87">
        <f>Time!AG$9</f>
        <v>24</v>
      </c>
      <c r="AH5" s="87">
        <f>Time!AH$9</f>
        <v>25</v>
      </c>
      <c r="AI5" s="87">
        <f>Time!AI$9</f>
        <v>26</v>
      </c>
      <c r="AJ5" s="87">
        <f>Time!AJ$9</f>
        <v>27</v>
      </c>
      <c r="AK5" s="87">
        <f>Time!AK$9</f>
        <v>28</v>
      </c>
      <c r="AL5" s="87">
        <f>Time!AL$9</f>
        <v>29</v>
      </c>
      <c r="AM5" s="87">
        <f>Time!AM$9</f>
        <v>30</v>
      </c>
      <c r="AN5" s="87">
        <f>Time!AN$9</f>
        <v>31</v>
      </c>
      <c r="AO5" s="87">
        <f>Time!AO$9</f>
        <v>32</v>
      </c>
      <c r="AP5" s="87">
        <f>Time!AP$9</f>
        <v>33</v>
      </c>
      <c r="AQ5" s="87">
        <f>Time!AQ$9</f>
        <v>34</v>
      </c>
      <c r="AR5" s="87">
        <f>Time!AR$9</f>
        <v>35</v>
      </c>
      <c r="AS5" s="87">
        <f>Time!AS$9</f>
        <v>36</v>
      </c>
      <c r="AT5" s="87">
        <f>Time!AT$9</f>
        <v>37</v>
      </c>
      <c r="AU5" s="87">
        <f>Time!AU$9</f>
        <v>38</v>
      </c>
      <c r="AV5" s="87">
        <f>Time!AV$9</f>
        <v>39</v>
      </c>
      <c r="AW5" s="87">
        <f>Time!AW$9</f>
        <v>40</v>
      </c>
      <c r="AX5" s="87">
        <f>Time!AX$9</f>
        <v>41</v>
      </c>
      <c r="AY5" s="87">
        <f>Time!AY$9</f>
        <v>42</v>
      </c>
      <c r="AZ5" s="87">
        <f>Time!AZ$9</f>
        <v>43</v>
      </c>
      <c r="BA5" s="87">
        <f>Time!BA$9</f>
        <v>44</v>
      </c>
      <c r="BB5" s="87">
        <f>Time!BB$9</f>
        <v>45</v>
      </c>
      <c r="BC5" s="87">
        <f>Time!BC$9</f>
        <v>46</v>
      </c>
      <c r="BD5" s="87">
        <f>Time!BD$9</f>
        <v>47</v>
      </c>
      <c r="BE5" s="87">
        <f>Time!BE$9</f>
        <v>48</v>
      </c>
      <c r="BF5" s="87">
        <f>Time!BF$9</f>
        <v>49</v>
      </c>
      <c r="BG5" s="87">
        <f>Time!BG$9</f>
        <v>50</v>
      </c>
      <c r="BH5" s="87">
        <f>Time!BH$9</f>
        <v>51</v>
      </c>
      <c r="BI5" s="87">
        <f>Time!BI$9</f>
        <v>52</v>
      </c>
      <c r="BJ5" s="87">
        <f>Time!BJ$9</f>
        <v>53</v>
      </c>
      <c r="BK5" s="87">
        <f>Time!BK$9</f>
        <v>54</v>
      </c>
      <c r="BL5" s="87">
        <f>Time!BL$9</f>
        <v>55</v>
      </c>
      <c r="BM5" s="87">
        <f>Time!BM$9</f>
        <v>56</v>
      </c>
      <c r="BN5" s="87">
        <f>Time!BN$9</f>
        <v>57</v>
      </c>
      <c r="BO5" s="87">
        <f>Time!BO$9</f>
        <v>58</v>
      </c>
      <c r="BP5" s="87">
        <f>Time!BP$9</f>
        <v>59</v>
      </c>
      <c r="BQ5" s="87">
        <f>Time!BQ$9</f>
        <v>60</v>
      </c>
      <c r="BR5" s="87">
        <f>Time!BR$9</f>
        <v>61</v>
      </c>
      <c r="BS5" s="87">
        <f>Time!BS$9</f>
        <v>62</v>
      </c>
      <c r="BT5" s="87">
        <f>Time!BT$9</f>
        <v>63</v>
      </c>
      <c r="BU5" s="87">
        <f>Time!BU$9</f>
        <v>64</v>
      </c>
      <c r="BV5" s="87">
        <f>Time!BV$9</f>
        <v>65</v>
      </c>
      <c r="BW5" s="87">
        <f>Time!BW$9</f>
        <v>66</v>
      </c>
      <c r="BX5" s="87">
        <f>Time!BX$9</f>
        <v>67</v>
      </c>
      <c r="BY5" s="87">
        <f>Time!BY$9</f>
        <v>68</v>
      </c>
    </row>
    <row r="7" spans="1:77">
      <c r="A7" s="10" t="s">
        <v>163</v>
      </c>
    </row>
    <row r="9" spans="1:77" s="66" customFormat="1">
      <c r="A9" s="55"/>
      <c r="B9" s="55"/>
      <c r="C9" s="56"/>
      <c r="D9" s="63"/>
      <c r="E9" s="64" t="s">
        <v>14</v>
      </c>
      <c r="F9" s="64">
        <v>0</v>
      </c>
      <c r="G9" s="65" t="s">
        <v>10</v>
      </c>
    </row>
    <row r="10" spans="1:77" s="15" customFormat="1">
      <c r="A10" s="35"/>
      <c r="B10" s="35"/>
      <c r="C10" s="36"/>
      <c r="D10" s="69"/>
      <c r="E10" s="15" t="str">
        <f>Time!E$33</f>
        <v>Acquisition / initial balance date flag</v>
      </c>
      <c r="F10" s="15">
        <f>Time!F$33</f>
        <v>0</v>
      </c>
      <c r="G10" s="15" t="str">
        <f>Time!G$33</f>
        <v>flag</v>
      </c>
      <c r="H10" s="15">
        <f>Time!H$33</f>
        <v>1</v>
      </c>
      <c r="I10" s="15">
        <f>Time!I$33</f>
        <v>0</v>
      </c>
      <c r="J10" s="15">
        <f>Time!J$33</f>
        <v>0</v>
      </c>
      <c r="K10" s="15">
        <f>Time!K$33</f>
        <v>0</v>
      </c>
      <c r="L10" s="15">
        <f>Time!L$33</f>
        <v>0</v>
      </c>
      <c r="M10" s="15">
        <f>Time!M$33</f>
        <v>0</v>
      </c>
      <c r="N10" s="15">
        <f>Time!N$33</f>
        <v>0</v>
      </c>
      <c r="O10" s="15">
        <f>Time!O$33</f>
        <v>1</v>
      </c>
      <c r="P10" s="15">
        <f>Time!P$33</f>
        <v>0</v>
      </c>
      <c r="Q10" s="15">
        <f>Time!Q$33</f>
        <v>0</v>
      </c>
      <c r="R10" s="15">
        <f>Time!R$33</f>
        <v>0</v>
      </c>
      <c r="S10" s="15">
        <f>Time!S$33</f>
        <v>0</v>
      </c>
      <c r="T10" s="15">
        <f>Time!T$33</f>
        <v>0</v>
      </c>
      <c r="U10" s="15">
        <f>Time!U$33</f>
        <v>0</v>
      </c>
      <c r="V10" s="15">
        <f>Time!V$33</f>
        <v>0</v>
      </c>
      <c r="W10" s="15">
        <f>Time!W$33</f>
        <v>0</v>
      </c>
      <c r="X10" s="15">
        <f>Time!X$33</f>
        <v>0</v>
      </c>
      <c r="Y10" s="15">
        <f>Time!Y$33</f>
        <v>0</v>
      </c>
      <c r="Z10" s="15">
        <f>Time!Z$33</f>
        <v>0</v>
      </c>
      <c r="AA10" s="15">
        <f>Time!AA$33</f>
        <v>0</v>
      </c>
      <c r="AB10" s="15">
        <f>Time!AB$33</f>
        <v>0</v>
      </c>
      <c r="AC10" s="15">
        <f>Time!AC$33</f>
        <v>0</v>
      </c>
      <c r="AD10" s="15">
        <f>Time!AD$33</f>
        <v>0</v>
      </c>
      <c r="AE10" s="15">
        <f>Time!AE$33</f>
        <v>0</v>
      </c>
      <c r="AF10" s="15">
        <f>Time!AF$33</f>
        <v>0</v>
      </c>
      <c r="AG10" s="15">
        <f>Time!AG$33</f>
        <v>0</v>
      </c>
      <c r="AH10" s="15">
        <f>Time!AH$33</f>
        <v>0</v>
      </c>
      <c r="AI10" s="15">
        <f>Time!AI$33</f>
        <v>0</v>
      </c>
      <c r="AJ10" s="15">
        <f>Time!AJ$33</f>
        <v>0</v>
      </c>
      <c r="AK10" s="15">
        <f>Time!AK$33</f>
        <v>0</v>
      </c>
      <c r="AL10" s="15">
        <f>Time!AL$33</f>
        <v>0</v>
      </c>
      <c r="AM10" s="15">
        <f>Time!AM$33</f>
        <v>0</v>
      </c>
      <c r="AN10" s="15">
        <f>Time!AN$33</f>
        <v>0</v>
      </c>
      <c r="AO10" s="15">
        <f>Time!AO$33</f>
        <v>0</v>
      </c>
      <c r="AP10" s="15">
        <f>Time!AP$33</f>
        <v>0</v>
      </c>
      <c r="AQ10" s="15">
        <f>Time!AQ$33</f>
        <v>0</v>
      </c>
      <c r="AR10" s="15">
        <f>Time!AR$33</f>
        <v>0</v>
      </c>
      <c r="AS10" s="15">
        <f>Time!AS$33</f>
        <v>0</v>
      </c>
      <c r="AT10" s="15">
        <f>Time!AT$33</f>
        <v>0</v>
      </c>
      <c r="AU10" s="15">
        <f>Time!AU$33</f>
        <v>0</v>
      </c>
      <c r="AV10" s="15">
        <f>Time!AV$33</f>
        <v>0</v>
      </c>
      <c r="AW10" s="15">
        <f>Time!AW$33</f>
        <v>0</v>
      </c>
      <c r="AX10" s="15">
        <f>Time!AX$33</f>
        <v>0</v>
      </c>
      <c r="AY10" s="15">
        <f>Time!AY$33</f>
        <v>0</v>
      </c>
      <c r="AZ10" s="15">
        <f>Time!AZ$33</f>
        <v>0</v>
      </c>
      <c r="BA10" s="15">
        <f>Time!BA$33</f>
        <v>0</v>
      </c>
      <c r="BB10" s="15">
        <f>Time!BB$33</f>
        <v>0</v>
      </c>
      <c r="BC10" s="15">
        <f>Time!BC$33</f>
        <v>0</v>
      </c>
      <c r="BD10" s="15">
        <f>Time!BD$33</f>
        <v>0</v>
      </c>
      <c r="BE10" s="15">
        <f>Time!BE$33</f>
        <v>0</v>
      </c>
      <c r="BF10" s="15">
        <f>Time!BF$33</f>
        <v>0</v>
      </c>
      <c r="BG10" s="15">
        <f>Time!BG$33</f>
        <v>0</v>
      </c>
      <c r="BH10" s="15">
        <f>Time!BH$33</f>
        <v>0</v>
      </c>
      <c r="BI10" s="15">
        <f>Time!BI$33</f>
        <v>0</v>
      </c>
      <c r="BJ10" s="15">
        <f>Time!BJ$33</f>
        <v>0</v>
      </c>
      <c r="BK10" s="15">
        <f>Time!BK$33</f>
        <v>0</v>
      </c>
      <c r="BL10" s="15">
        <f>Time!BL$33</f>
        <v>0</v>
      </c>
      <c r="BM10" s="15">
        <f>Time!BM$33</f>
        <v>0</v>
      </c>
      <c r="BN10" s="15">
        <f>Time!BN$33</f>
        <v>0</v>
      </c>
      <c r="BO10" s="15">
        <f>Time!BO$33</f>
        <v>0</v>
      </c>
      <c r="BP10" s="15">
        <f>Time!BP$33</f>
        <v>0</v>
      </c>
      <c r="BQ10" s="15">
        <f>Time!BQ$33</f>
        <v>0</v>
      </c>
      <c r="BR10" s="15">
        <f>Time!BR$33</f>
        <v>0</v>
      </c>
      <c r="BS10" s="15">
        <f>Time!BS$33</f>
        <v>0</v>
      </c>
      <c r="BT10" s="15">
        <f>Time!BT$33</f>
        <v>0</v>
      </c>
      <c r="BU10" s="15">
        <f>Time!BU$33</f>
        <v>0</v>
      </c>
      <c r="BV10" s="15">
        <f>Time!BV$33</f>
        <v>0</v>
      </c>
      <c r="BW10" s="15">
        <f>Time!BW$33</f>
        <v>0</v>
      </c>
      <c r="BX10" s="15">
        <f>Time!BX$33</f>
        <v>0</v>
      </c>
      <c r="BY10" s="15">
        <f>Time!BY$33</f>
        <v>0</v>
      </c>
    </row>
    <row r="11" spans="1:77" s="57" customFormat="1">
      <c r="A11" s="8"/>
      <c r="B11" s="8"/>
      <c r="C11" s="9"/>
      <c r="D11" s="62"/>
    </row>
    <row r="12" spans="1:77" s="57" customFormat="1">
      <c r="A12" s="8"/>
      <c r="B12" s="8"/>
      <c r="C12" s="9"/>
      <c r="D12" s="62"/>
      <c r="E12" s="67" t="s">
        <v>8</v>
      </c>
      <c r="G12" s="59"/>
      <c r="J12" s="57">
        <f t="shared" ref="J12:BU12" si="0" xml:space="preserve"> I15</f>
        <v>0</v>
      </c>
      <c r="K12" s="57">
        <f t="shared" si="0"/>
        <v>0</v>
      </c>
      <c r="L12" s="57">
        <f t="shared" si="0"/>
        <v>0</v>
      </c>
      <c r="M12" s="57">
        <f t="shared" si="0"/>
        <v>0</v>
      </c>
      <c r="N12" s="57">
        <f t="shared" si="0"/>
        <v>0</v>
      </c>
      <c r="O12" s="57">
        <f t="shared" si="0"/>
        <v>0</v>
      </c>
      <c r="P12" s="57">
        <f t="shared" si="0"/>
        <v>0</v>
      </c>
      <c r="Q12" s="57">
        <f t="shared" si="0"/>
        <v>0</v>
      </c>
      <c r="R12" s="57">
        <f t="shared" si="0"/>
        <v>0</v>
      </c>
      <c r="S12" s="57">
        <f t="shared" si="0"/>
        <v>0</v>
      </c>
      <c r="T12" s="57">
        <f t="shared" si="0"/>
        <v>0</v>
      </c>
      <c r="U12" s="57">
        <f t="shared" si="0"/>
        <v>0</v>
      </c>
      <c r="V12" s="57">
        <f t="shared" si="0"/>
        <v>0</v>
      </c>
      <c r="W12" s="57">
        <f t="shared" si="0"/>
        <v>0</v>
      </c>
      <c r="X12" s="57">
        <f t="shared" si="0"/>
        <v>0</v>
      </c>
      <c r="Y12" s="57">
        <f t="shared" si="0"/>
        <v>0</v>
      </c>
      <c r="Z12" s="57">
        <f t="shared" si="0"/>
        <v>0</v>
      </c>
      <c r="AA12" s="57">
        <f t="shared" si="0"/>
        <v>0</v>
      </c>
      <c r="AB12" s="57">
        <f t="shared" si="0"/>
        <v>0</v>
      </c>
      <c r="AC12" s="57">
        <f t="shared" si="0"/>
        <v>0</v>
      </c>
      <c r="AD12" s="57">
        <f t="shared" si="0"/>
        <v>0</v>
      </c>
      <c r="AE12" s="57">
        <f t="shared" si="0"/>
        <v>0</v>
      </c>
      <c r="AF12" s="57">
        <f t="shared" si="0"/>
        <v>0</v>
      </c>
      <c r="AG12" s="57">
        <f t="shared" si="0"/>
        <v>0</v>
      </c>
      <c r="AH12" s="57">
        <f t="shared" si="0"/>
        <v>0</v>
      </c>
      <c r="AI12" s="57">
        <f t="shared" si="0"/>
        <v>0</v>
      </c>
      <c r="AJ12" s="57">
        <f t="shared" si="0"/>
        <v>0</v>
      </c>
      <c r="AK12" s="57">
        <f t="shared" si="0"/>
        <v>0</v>
      </c>
      <c r="AL12" s="57">
        <f t="shared" si="0"/>
        <v>0</v>
      </c>
      <c r="AM12" s="57">
        <f t="shared" si="0"/>
        <v>0</v>
      </c>
      <c r="AN12" s="57">
        <f t="shared" si="0"/>
        <v>0</v>
      </c>
      <c r="AO12" s="57">
        <f t="shared" si="0"/>
        <v>0</v>
      </c>
      <c r="AP12" s="57">
        <f t="shared" si="0"/>
        <v>0</v>
      </c>
      <c r="AQ12" s="57">
        <f t="shared" si="0"/>
        <v>0</v>
      </c>
      <c r="AR12" s="57">
        <f t="shared" si="0"/>
        <v>0</v>
      </c>
      <c r="AS12" s="57">
        <f t="shared" si="0"/>
        <v>0</v>
      </c>
      <c r="AT12" s="57">
        <f t="shared" si="0"/>
        <v>0</v>
      </c>
      <c r="AU12" s="57">
        <f t="shared" si="0"/>
        <v>0</v>
      </c>
      <c r="AV12" s="57">
        <f t="shared" si="0"/>
        <v>0</v>
      </c>
      <c r="AW12" s="57">
        <f t="shared" si="0"/>
        <v>0</v>
      </c>
      <c r="AX12" s="57">
        <f t="shared" si="0"/>
        <v>0</v>
      </c>
      <c r="AY12" s="57">
        <f t="shared" si="0"/>
        <v>0</v>
      </c>
      <c r="AZ12" s="57">
        <f t="shared" si="0"/>
        <v>0</v>
      </c>
      <c r="BA12" s="57">
        <f t="shared" si="0"/>
        <v>0</v>
      </c>
      <c r="BB12" s="57">
        <f t="shared" si="0"/>
        <v>0</v>
      </c>
      <c r="BC12" s="57">
        <f t="shared" si="0"/>
        <v>0</v>
      </c>
      <c r="BD12" s="57">
        <f t="shared" si="0"/>
        <v>0</v>
      </c>
      <c r="BE12" s="57">
        <f t="shared" si="0"/>
        <v>0</v>
      </c>
      <c r="BF12" s="57">
        <f t="shared" si="0"/>
        <v>0</v>
      </c>
      <c r="BG12" s="57">
        <f t="shared" si="0"/>
        <v>0</v>
      </c>
      <c r="BH12" s="57">
        <f t="shared" si="0"/>
        <v>0</v>
      </c>
      <c r="BI12" s="57">
        <f t="shared" si="0"/>
        <v>0</v>
      </c>
      <c r="BJ12" s="57">
        <f t="shared" si="0"/>
        <v>0</v>
      </c>
      <c r="BK12" s="57">
        <f t="shared" si="0"/>
        <v>0</v>
      </c>
      <c r="BL12" s="57">
        <f t="shared" si="0"/>
        <v>0</v>
      </c>
      <c r="BM12" s="57">
        <f t="shared" si="0"/>
        <v>0</v>
      </c>
      <c r="BN12" s="57">
        <f t="shared" si="0"/>
        <v>0</v>
      </c>
      <c r="BO12" s="57">
        <f t="shared" si="0"/>
        <v>0</v>
      </c>
      <c r="BP12" s="57">
        <f t="shared" si="0"/>
        <v>0</v>
      </c>
      <c r="BQ12" s="57">
        <f t="shared" si="0"/>
        <v>0</v>
      </c>
      <c r="BR12" s="57">
        <f t="shared" si="0"/>
        <v>0</v>
      </c>
      <c r="BS12" s="57">
        <f t="shared" si="0"/>
        <v>0</v>
      </c>
      <c r="BT12" s="57">
        <f t="shared" si="0"/>
        <v>0</v>
      </c>
      <c r="BU12" s="57">
        <f t="shared" si="0"/>
        <v>0</v>
      </c>
      <c r="BV12" s="57">
        <f xml:space="preserve"> BU15</f>
        <v>0</v>
      </c>
      <c r="BW12" s="57">
        <f xml:space="preserve"> BV15</f>
        <v>0</v>
      </c>
      <c r="BX12" s="57">
        <f xml:space="preserve"> BW15</f>
        <v>0</v>
      </c>
      <c r="BY12" s="57">
        <f xml:space="preserve"> BX15</f>
        <v>0</v>
      </c>
    </row>
    <row r="13" spans="1:77" s="67" customFormat="1">
      <c r="A13" s="53"/>
      <c r="B13" s="53"/>
      <c r="C13" s="54"/>
      <c r="D13" s="68" t="s">
        <v>35</v>
      </c>
      <c r="E13" s="67" t="s">
        <v>0</v>
      </c>
    </row>
    <row r="14" spans="1:77" s="67" customFormat="1">
      <c r="A14" s="53"/>
      <c r="B14" s="53"/>
      <c r="C14" s="54"/>
      <c r="D14" s="68" t="s">
        <v>36</v>
      </c>
      <c r="E14" s="67" t="s">
        <v>1</v>
      </c>
    </row>
    <row r="15" spans="1:77" s="113" customFormat="1">
      <c r="A15" s="109"/>
      <c r="B15" s="109"/>
      <c r="C15" s="110"/>
      <c r="D15" s="111"/>
      <c r="E15" s="112" t="s">
        <v>15</v>
      </c>
      <c r="G15" s="114"/>
      <c r="I15" s="115"/>
      <c r="J15" s="113">
        <f xml:space="preserve"> IF(J10 = 1, $F9, J12 + J13 - J14)</f>
        <v>0</v>
      </c>
      <c r="K15" s="113">
        <f t="shared" ref="K15:BV15" si="1" xml:space="preserve"> IF(K10 = 1, $F9, K12 + K13 - K14)</f>
        <v>0</v>
      </c>
      <c r="L15" s="113">
        <f t="shared" si="1"/>
        <v>0</v>
      </c>
      <c r="M15" s="113">
        <f t="shared" si="1"/>
        <v>0</v>
      </c>
      <c r="N15" s="113">
        <f t="shared" si="1"/>
        <v>0</v>
      </c>
      <c r="O15" s="113">
        <f t="shared" si="1"/>
        <v>0</v>
      </c>
      <c r="P15" s="113">
        <f t="shared" si="1"/>
        <v>0</v>
      </c>
      <c r="Q15" s="113">
        <f t="shared" si="1"/>
        <v>0</v>
      </c>
      <c r="R15" s="113">
        <f t="shared" si="1"/>
        <v>0</v>
      </c>
      <c r="S15" s="113">
        <f t="shared" si="1"/>
        <v>0</v>
      </c>
      <c r="T15" s="113">
        <f t="shared" si="1"/>
        <v>0</v>
      </c>
      <c r="U15" s="113">
        <f t="shared" si="1"/>
        <v>0</v>
      </c>
      <c r="V15" s="113">
        <f t="shared" si="1"/>
        <v>0</v>
      </c>
      <c r="W15" s="113">
        <f t="shared" si="1"/>
        <v>0</v>
      </c>
      <c r="X15" s="113">
        <f t="shared" si="1"/>
        <v>0</v>
      </c>
      <c r="Y15" s="113">
        <f t="shared" si="1"/>
        <v>0</v>
      </c>
      <c r="Z15" s="113">
        <f t="shared" si="1"/>
        <v>0</v>
      </c>
      <c r="AA15" s="113">
        <f t="shared" si="1"/>
        <v>0</v>
      </c>
      <c r="AB15" s="113">
        <f t="shared" si="1"/>
        <v>0</v>
      </c>
      <c r="AC15" s="113">
        <f t="shared" si="1"/>
        <v>0</v>
      </c>
      <c r="AD15" s="113">
        <f t="shared" si="1"/>
        <v>0</v>
      </c>
      <c r="AE15" s="113">
        <f t="shared" si="1"/>
        <v>0</v>
      </c>
      <c r="AF15" s="113">
        <f t="shared" si="1"/>
        <v>0</v>
      </c>
      <c r="AG15" s="113">
        <f t="shared" si="1"/>
        <v>0</v>
      </c>
      <c r="AH15" s="113">
        <f t="shared" si="1"/>
        <v>0</v>
      </c>
      <c r="AI15" s="113">
        <f t="shared" si="1"/>
        <v>0</v>
      </c>
      <c r="AJ15" s="113">
        <f t="shared" si="1"/>
        <v>0</v>
      </c>
      <c r="AK15" s="113">
        <f t="shared" si="1"/>
        <v>0</v>
      </c>
      <c r="AL15" s="113">
        <f t="shared" si="1"/>
        <v>0</v>
      </c>
      <c r="AM15" s="113">
        <f t="shared" si="1"/>
        <v>0</v>
      </c>
      <c r="AN15" s="113">
        <f t="shared" si="1"/>
        <v>0</v>
      </c>
      <c r="AO15" s="113">
        <f t="shared" si="1"/>
        <v>0</v>
      </c>
      <c r="AP15" s="113">
        <f t="shared" si="1"/>
        <v>0</v>
      </c>
      <c r="AQ15" s="113">
        <f t="shared" si="1"/>
        <v>0</v>
      </c>
      <c r="AR15" s="113">
        <f t="shared" si="1"/>
        <v>0</v>
      </c>
      <c r="AS15" s="113">
        <f t="shared" si="1"/>
        <v>0</v>
      </c>
      <c r="AT15" s="113">
        <f t="shared" si="1"/>
        <v>0</v>
      </c>
      <c r="AU15" s="113">
        <f t="shared" si="1"/>
        <v>0</v>
      </c>
      <c r="AV15" s="113">
        <f t="shared" si="1"/>
        <v>0</v>
      </c>
      <c r="AW15" s="113">
        <f t="shared" si="1"/>
        <v>0</v>
      </c>
      <c r="AX15" s="113">
        <f t="shared" si="1"/>
        <v>0</v>
      </c>
      <c r="AY15" s="113">
        <f t="shared" si="1"/>
        <v>0</v>
      </c>
      <c r="AZ15" s="113">
        <f t="shared" si="1"/>
        <v>0</v>
      </c>
      <c r="BA15" s="113">
        <f t="shared" si="1"/>
        <v>0</v>
      </c>
      <c r="BB15" s="113">
        <f t="shared" si="1"/>
        <v>0</v>
      </c>
      <c r="BC15" s="113">
        <f t="shared" si="1"/>
        <v>0</v>
      </c>
      <c r="BD15" s="113">
        <f t="shared" si="1"/>
        <v>0</v>
      </c>
      <c r="BE15" s="113">
        <f t="shared" si="1"/>
        <v>0</v>
      </c>
      <c r="BF15" s="113">
        <f t="shared" si="1"/>
        <v>0</v>
      </c>
      <c r="BG15" s="113">
        <f t="shared" si="1"/>
        <v>0</v>
      </c>
      <c r="BH15" s="113">
        <f t="shared" si="1"/>
        <v>0</v>
      </c>
      <c r="BI15" s="113">
        <f t="shared" si="1"/>
        <v>0</v>
      </c>
      <c r="BJ15" s="113">
        <f t="shared" si="1"/>
        <v>0</v>
      </c>
      <c r="BK15" s="113">
        <f t="shared" si="1"/>
        <v>0</v>
      </c>
      <c r="BL15" s="113">
        <f t="shared" si="1"/>
        <v>0</v>
      </c>
      <c r="BM15" s="113">
        <f t="shared" si="1"/>
        <v>0</v>
      </c>
      <c r="BN15" s="113">
        <f t="shared" si="1"/>
        <v>0</v>
      </c>
      <c r="BO15" s="113">
        <f t="shared" si="1"/>
        <v>0</v>
      </c>
      <c r="BP15" s="113">
        <f t="shared" si="1"/>
        <v>0</v>
      </c>
      <c r="BQ15" s="113">
        <f t="shared" si="1"/>
        <v>0</v>
      </c>
      <c r="BR15" s="113">
        <f t="shared" si="1"/>
        <v>0</v>
      </c>
      <c r="BS15" s="113">
        <f t="shared" si="1"/>
        <v>0</v>
      </c>
      <c r="BT15" s="113">
        <f t="shared" si="1"/>
        <v>0</v>
      </c>
      <c r="BU15" s="113">
        <f t="shared" si="1"/>
        <v>0</v>
      </c>
      <c r="BV15" s="113">
        <f t="shared" si="1"/>
        <v>0</v>
      </c>
      <c r="BW15" s="113">
        <f xml:space="preserve"> IF(BW10 = 1, $F9, BW12 + BW13 - BW14)</f>
        <v>0</v>
      </c>
      <c r="BX15" s="113">
        <f xml:space="preserve"> IF(BX10 = 1, $F9, BX12 + BX13 - BX14)</f>
        <v>0</v>
      </c>
      <c r="BY15" s="113">
        <f xml:space="preserve"> IF(BY10 = 1, $F9, BY12 + BY13 - BY14)</f>
        <v>0</v>
      </c>
    </row>
    <row r="16" spans="1:77" s="57" customFormat="1">
      <c r="A16" s="8"/>
      <c r="B16" s="84"/>
      <c r="C16" s="85"/>
      <c r="D16" s="62"/>
    </row>
    <row r="18" spans="1:79" s="134" customFormat="1">
      <c r="A18" s="130" t="s">
        <v>44</v>
      </c>
      <c r="B18" s="131"/>
      <c r="C18" s="132"/>
      <c r="D18" s="133"/>
    </row>
    <row r="19" spans="1:79" s="134" customFormat="1">
      <c r="A19" s="130"/>
      <c r="B19" s="131"/>
      <c r="C19" s="132"/>
      <c r="D19" s="133"/>
    </row>
    <row r="20" spans="1:79" s="134" customFormat="1">
      <c r="A20" s="130"/>
      <c r="B20" s="130"/>
      <c r="C20" s="135"/>
      <c r="D20" s="133"/>
      <c r="E20" s="136" t="s">
        <v>45</v>
      </c>
      <c r="F20" s="130"/>
      <c r="G20" s="134" t="s">
        <v>46</v>
      </c>
      <c r="H20" s="134">
        <f>SUM(J20:CA20)</f>
        <v>7000</v>
      </c>
      <c r="J20" s="137">
        <v>100</v>
      </c>
      <c r="K20" s="137">
        <v>100</v>
      </c>
      <c r="L20" s="137">
        <v>100</v>
      </c>
      <c r="M20" s="137">
        <v>100</v>
      </c>
      <c r="N20" s="137">
        <v>100</v>
      </c>
      <c r="O20" s="137">
        <v>100</v>
      </c>
      <c r="P20" s="137">
        <v>100</v>
      </c>
      <c r="Q20" s="137">
        <v>100</v>
      </c>
      <c r="R20" s="137">
        <v>100</v>
      </c>
      <c r="S20" s="137">
        <v>100</v>
      </c>
      <c r="T20" s="137">
        <v>100</v>
      </c>
      <c r="U20" s="137">
        <v>100</v>
      </c>
      <c r="V20" s="137">
        <v>100</v>
      </c>
      <c r="W20" s="137">
        <v>100</v>
      </c>
      <c r="X20" s="137">
        <v>100</v>
      </c>
      <c r="Y20" s="137">
        <v>100</v>
      </c>
      <c r="Z20" s="137">
        <v>100</v>
      </c>
      <c r="AA20" s="137">
        <v>100</v>
      </c>
      <c r="AB20" s="137">
        <v>100</v>
      </c>
      <c r="AC20" s="137">
        <v>100</v>
      </c>
      <c r="AD20" s="137">
        <v>100</v>
      </c>
      <c r="AE20" s="137">
        <v>100</v>
      </c>
      <c r="AF20" s="137">
        <v>100</v>
      </c>
      <c r="AG20" s="137">
        <v>100</v>
      </c>
      <c r="AH20" s="137">
        <v>100</v>
      </c>
      <c r="AI20" s="137">
        <v>100</v>
      </c>
      <c r="AJ20" s="137">
        <v>100</v>
      </c>
      <c r="AK20" s="137">
        <v>100</v>
      </c>
      <c r="AL20" s="137">
        <v>100</v>
      </c>
      <c r="AM20" s="137">
        <v>100</v>
      </c>
      <c r="AN20" s="137">
        <v>100</v>
      </c>
      <c r="AO20" s="137">
        <v>100</v>
      </c>
      <c r="AP20" s="137">
        <v>100</v>
      </c>
      <c r="AQ20" s="137">
        <v>100</v>
      </c>
      <c r="AR20" s="137">
        <v>100</v>
      </c>
      <c r="AS20" s="137">
        <v>100</v>
      </c>
      <c r="AT20" s="137">
        <v>100</v>
      </c>
      <c r="AU20" s="137">
        <v>100</v>
      </c>
      <c r="AV20" s="137">
        <v>100</v>
      </c>
      <c r="AW20" s="137">
        <v>100</v>
      </c>
      <c r="AX20" s="137">
        <v>100</v>
      </c>
      <c r="AY20" s="137">
        <v>100</v>
      </c>
      <c r="AZ20" s="137">
        <v>100</v>
      </c>
      <c r="BA20" s="137">
        <v>100</v>
      </c>
      <c r="BB20" s="137">
        <v>100</v>
      </c>
      <c r="BC20" s="137">
        <v>100</v>
      </c>
      <c r="BD20" s="137">
        <v>100</v>
      </c>
      <c r="BE20" s="137">
        <v>100</v>
      </c>
      <c r="BF20" s="137">
        <v>100</v>
      </c>
      <c r="BG20" s="137">
        <v>100</v>
      </c>
      <c r="BH20" s="137">
        <v>100</v>
      </c>
      <c r="BI20" s="137">
        <v>100</v>
      </c>
      <c r="BJ20" s="137">
        <v>100</v>
      </c>
      <c r="BK20" s="137">
        <v>100</v>
      </c>
      <c r="BL20" s="137">
        <v>100</v>
      </c>
      <c r="BM20" s="137">
        <v>100</v>
      </c>
      <c r="BN20" s="137">
        <v>100</v>
      </c>
      <c r="BO20" s="137">
        <v>100</v>
      </c>
      <c r="BP20" s="137">
        <v>100</v>
      </c>
      <c r="BQ20" s="137">
        <v>100</v>
      </c>
      <c r="BR20" s="137">
        <v>100</v>
      </c>
      <c r="BS20" s="137">
        <v>100</v>
      </c>
      <c r="BT20" s="137">
        <v>100</v>
      </c>
      <c r="BU20" s="137">
        <v>100</v>
      </c>
      <c r="BV20" s="137">
        <v>100</v>
      </c>
      <c r="BW20" s="137">
        <v>100</v>
      </c>
      <c r="BX20" s="137">
        <v>100</v>
      </c>
      <c r="BY20" s="137">
        <v>100</v>
      </c>
      <c r="BZ20" s="137">
        <v>100</v>
      </c>
      <c r="CA20" s="137">
        <v>100</v>
      </c>
    </row>
    <row r="21" spans="1:79" s="141" customFormat="1">
      <c r="A21" s="138"/>
      <c r="B21" s="130"/>
      <c r="C21" s="139"/>
      <c r="D21" s="140"/>
      <c r="E21" s="141" t="str">
        <f xml:space="preserve"> LEFT(E20, LEN(E20) - 4)</f>
        <v>Sign switch line item</v>
      </c>
      <c r="G21" s="141" t="str">
        <f xml:space="preserve"> G20</f>
        <v>units</v>
      </c>
      <c r="H21" s="141">
        <f>SUM(J21:CA21)</f>
        <v>-7000</v>
      </c>
      <c r="J21" s="141">
        <f t="shared" ref="J21:BU21" si="2" xml:space="preserve"> -1 * J20</f>
        <v>-100</v>
      </c>
      <c r="K21" s="141">
        <f t="shared" si="2"/>
        <v>-100</v>
      </c>
      <c r="L21" s="141">
        <f t="shared" si="2"/>
        <v>-100</v>
      </c>
      <c r="M21" s="141">
        <f t="shared" si="2"/>
        <v>-100</v>
      </c>
      <c r="N21" s="141">
        <f t="shared" si="2"/>
        <v>-100</v>
      </c>
      <c r="O21" s="141">
        <f t="shared" si="2"/>
        <v>-100</v>
      </c>
      <c r="P21" s="141">
        <f t="shared" si="2"/>
        <v>-100</v>
      </c>
      <c r="Q21" s="141">
        <f t="shared" si="2"/>
        <v>-100</v>
      </c>
      <c r="R21" s="141">
        <f t="shared" si="2"/>
        <v>-100</v>
      </c>
      <c r="S21" s="141">
        <f t="shared" si="2"/>
        <v>-100</v>
      </c>
      <c r="T21" s="141">
        <f t="shared" si="2"/>
        <v>-100</v>
      </c>
      <c r="U21" s="141">
        <f t="shared" si="2"/>
        <v>-100</v>
      </c>
      <c r="V21" s="141">
        <f t="shared" si="2"/>
        <v>-100</v>
      </c>
      <c r="W21" s="141">
        <f t="shared" si="2"/>
        <v>-100</v>
      </c>
      <c r="X21" s="141">
        <f t="shared" si="2"/>
        <v>-100</v>
      </c>
      <c r="Y21" s="141">
        <f t="shared" si="2"/>
        <v>-100</v>
      </c>
      <c r="Z21" s="141">
        <f t="shared" si="2"/>
        <v>-100</v>
      </c>
      <c r="AA21" s="141">
        <f t="shared" si="2"/>
        <v>-100</v>
      </c>
      <c r="AB21" s="141">
        <f t="shared" si="2"/>
        <v>-100</v>
      </c>
      <c r="AC21" s="141">
        <f t="shared" si="2"/>
        <v>-100</v>
      </c>
      <c r="AD21" s="141">
        <f t="shared" si="2"/>
        <v>-100</v>
      </c>
      <c r="AE21" s="141">
        <f t="shared" si="2"/>
        <v>-100</v>
      </c>
      <c r="AF21" s="141">
        <f t="shared" si="2"/>
        <v>-100</v>
      </c>
      <c r="AG21" s="141">
        <f t="shared" si="2"/>
        <v>-100</v>
      </c>
      <c r="AH21" s="141">
        <f t="shared" si="2"/>
        <v>-100</v>
      </c>
      <c r="AI21" s="141">
        <f t="shared" si="2"/>
        <v>-100</v>
      </c>
      <c r="AJ21" s="141">
        <f t="shared" si="2"/>
        <v>-100</v>
      </c>
      <c r="AK21" s="141">
        <f t="shared" si="2"/>
        <v>-100</v>
      </c>
      <c r="AL21" s="141">
        <f t="shared" si="2"/>
        <v>-100</v>
      </c>
      <c r="AM21" s="141">
        <f t="shared" si="2"/>
        <v>-100</v>
      </c>
      <c r="AN21" s="141">
        <f t="shared" si="2"/>
        <v>-100</v>
      </c>
      <c r="AO21" s="141">
        <f t="shared" si="2"/>
        <v>-100</v>
      </c>
      <c r="AP21" s="141">
        <f t="shared" si="2"/>
        <v>-100</v>
      </c>
      <c r="AQ21" s="141">
        <f t="shared" si="2"/>
        <v>-100</v>
      </c>
      <c r="AR21" s="141">
        <f t="shared" si="2"/>
        <v>-100</v>
      </c>
      <c r="AS21" s="141">
        <f t="shared" si="2"/>
        <v>-100</v>
      </c>
      <c r="AT21" s="141">
        <f t="shared" si="2"/>
        <v>-100</v>
      </c>
      <c r="AU21" s="141">
        <f t="shared" si="2"/>
        <v>-100</v>
      </c>
      <c r="AV21" s="141">
        <f t="shared" si="2"/>
        <v>-100</v>
      </c>
      <c r="AW21" s="141">
        <f t="shared" si="2"/>
        <v>-100</v>
      </c>
      <c r="AX21" s="141">
        <f t="shared" si="2"/>
        <v>-100</v>
      </c>
      <c r="AY21" s="141">
        <f t="shared" si="2"/>
        <v>-100</v>
      </c>
      <c r="AZ21" s="141">
        <f t="shared" si="2"/>
        <v>-100</v>
      </c>
      <c r="BA21" s="141">
        <f t="shared" si="2"/>
        <v>-100</v>
      </c>
      <c r="BB21" s="141">
        <f t="shared" si="2"/>
        <v>-100</v>
      </c>
      <c r="BC21" s="141">
        <f t="shared" si="2"/>
        <v>-100</v>
      </c>
      <c r="BD21" s="141">
        <f t="shared" si="2"/>
        <v>-100</v>
      </c>
      <c r="BE21" s="141">
        <f t="shared" si="2"/>
        <v>-100</v>
      </c>
      <c r="BF21" s="141">
        <f t="shared" si="2"/>
        <v>-100</v>
      </c>
      <c r="BG21" s="141">
        <f t="shared" si="2"/>
        <v>-100</v>
      </c>
      <c r="BH21" s="141">
        <f t="shared" si="2"/>
        <v>-100</v>
      </c>
      <c r="BI21" s="141">
        <f t="shared" si="2"/>
        <v>-100</v>
      </c>
      <c r="BJ21" s="141">
        <f t="shared" si="2"/>
        <v>-100</v>
      </c>
      <c r="BK21" s="141">
        <f t="shared" si="2"/>
        <v>-100</v>
      </c>
      <c r="BL21" s="141">
        <f t="shared" si="2"/>
        <v>-100</v>
      </c>
      <c r="BM21" s="141">
        <f t="shared" si="2"/>
        <v>-100</v>
      </c>
      <c r="BN21" s="141">
        <f t="shared" si="2"/>
        <v>-100</v>
      </c>
      <c r="BO21" s="141">
        <f t="shared" si="2"/>
        <v>-100</v>
      </c>
      <c r="BP21" s="141">
        <f t="shared" si="2"/>
        <v>-100</v>
      </c>
      <c r="BQ21" s="141">
        <f t="shared" si="2"/>
        <v>-100</v>
      </c>
      <c r="BR21" s="141">
        <f t="shared" si="2"/>
        <v>-100</v>
      </c>
      <c r="BS21" s="141">
        <f t="shared" si="2"/>
        <v>-100</v>
      </c>
      <c r="BT21" s="141">
        <f t="shared" si="2"/>
        <v>-100</v>
      </c>
      <c r="BU21" s="141">
        <f t="shared" si="2"/>
        <v>-100</v>
      </c>
      <c r="BV21" s="141">
        <f t="shared" ref="BV21:CA21" si="3" xml:space="preserve"> -1 * BV20</f>
        <v>-100</v>
      </c>
      <c r="BW21" s="141">
        <f t="shared" si="3"/>
        <v>-100</v>
      </c>
      <c r="BX21" s="141">
        <f t="shared" si="3"/>
        <v>-100</v>
      </c>
      <c r="BY21" s="141">
        <f t="shared" si="3"/>
        <v>-100</v>
      </c>
      <c r="BZ21" s="141">
        <f t="shared" si="3"/>
        <v>-100</v>
      </c>
      <c r="CA21" s="141">
        <f t="shared" si="3"/>
        <v>-100</v>
      </c>
    </row>
    <row r="22" spans="1:79" s="134" customFormat="1">
      <c r="A22" s="130"/>
      <c r="B22" s="131"/>
      <c r="C22" s="132"/>
      <c r="D22" s="133"/>
    </row>
    <row r="27" spans="1:79">
      <c r="F27" s="3"/>
      <c r="N27" s="2"/>
    </row>
    <row r="28" spans="1:79">
      <c r="G28" s="1"/>
    </row>
    <row r="37" spans="6:6">
      <c r="F37" s="3"/>
    </row>
  </sheetData>
  <phoneticPr fontId="5" type="noConversion"/>
  <conditionalFormatting sqref="F2">
    <cfRule type="cellIs" dxfId="3" priority="1" stopIfTrue="1" operator="notEqual">
      <formula>0</formula>
    </cfRule>
    <cfRule type="cellIs" dxfId="2" priority="2" stopIfTrue="1" operator="equal">
      <formula>""</formula>
    </cfRule>
  </conditionalFormatting>
  <conditionalFormatting sqref="J3:BY3">
    <cfRule type="cellIs" dxfId="1" priority="5" stopIfTrue="1" operator="equal">
      <formula>"Pre-forecast"</formula>
    </cfRule>
    <cfRule type="cellIs" dxfId="0" priority="6" stopIfTrue="1" operator="equal">
      <formula>"Forecast"</formula>
    </cfRule>
  </conditionalFormatting>
  <printOptions headings="1"/>
  <pageMargins left="1.9" right="1.9" top="2.5" bottom="2.5" header="1.3" footer="1.3"/>
  <pageSetup paperSize="9" scale="55" orientation="landscape" blackAndWhite="1" horizontalDpi="300" verticalDpi="300" r:id="rId1"/>
  <headerFooter alignWithMargins="0">
    <oddHeader>&amp;L&amp;"Arial,Bold"&amp;14PROJECT [project name]&amp;C&amp;"Arial,Bold"&amp;14Sheet: &amp;A&amp;R&amp;"Arial,Bold"&amp;14STRICTLY  CONFIDENTIAL</oddHeader>
    <oddFooter>&amp;L&amp;F ( Printed on &amp;D at &amp;T )&amp;RPage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31</vt:i4>
      </vt:variant>
    </vt:vector>
  </HeadingPairs>
  <TitlesOfParts>
    <vt:vector size="48" baseType="lpstr">
      <vt:lpstr>CoverPage</vt:lpstr>
      <vt:lpstr>Summary</vt:lpstr>
      <vt:lpstr>Scenario &amp; Sensitivity</vt:lpstr>
      <vt:lpstr>InpC</vt:lpstr>
      <vt:lpstr>InpS</vt:lpstr>
      <vt:lpstr>FinStat Act</vt:lpstr>
      <vt:lpstr>FinStat</vt:lpstr>
      <vt:lpstr>OpRev</vt:lpstr>
      <vt:lpstr>OpCost</vt:lpstr>
      <vt:lpstr>FixdAssts</vt:lpstr>
      <vt:lpstr>FinCosts</vt:lpstr>
      <vt:lpstr>Tax</vt:lpstr>
      <vt:lpstr>Equity</vt:lpstr>
      <vt:lpstr>WorkCap</vt:lpstr>
      <vt:lpstr>Valn</vt:lpstr>
      <vt:lpstr>Time</vt:lpstr>
      <vt:lpstr>Temp</vt:lpstr>
      <vt:lpstr>days</vt:lpstr>
      <vt:lpstr>Equity!Print_Area</vt:lpstr>
      <vt:lpstr>FinCosts!Print_Area</vt:lpstr>
      <vt:lpstr>FinStat!Print_Area</vt:lpstr>
      <vt:lpstr>'FinStat Act'!Print_Area</vt:lpstr>
      <vt:lpstr>FixdAssts!Print_Area</vt:lpstr>
      <vt:lpstr>InpC!Print_Area</vt:lpstr>
      <vt:lpstr>InpS!Print_Area</vt:lpstr>
      <vt:lpstr>OpCost!Print_Area</vt:lpstr>
      <vt:lpstr>OpRev!Print_Area</vt:lpstr>
      <vt:lpstr>Summary!Print_Area</vt:lpstr>
      <vt:lpstr>Tax!Print_Area</vt:lpstr>
      <vt:lpstr>Temp!Print_Area</vt:lpstr>
      <vt:lpstr>Time!Print_Area</vt:lpstr>
      <vt:lpstr>Valn!Print_Area</vt:lpstr>
      <vt:lpstr>WorkCap!Print_Area</vt:lpstr>
      <vt:lpstr>Equity!Print_Titles</vt:lpstr>
      <vt:lpstr>FinCosts!Print_Titles</vt:lpstr>
      <vt:lpstr>FinStat!Print_Titles</vt:lpstr>
      <vt:lpstr>'FinStat Act'!Print_Titles</vt:lpstr>
      <vt:lpstr>FixdAssts!Print_Titles</vt:lpstr>
      <vt:lpstr>InpC!Print_Titles</vt:lpstr>
      <vt:lpstr>InpS!Print_Titles</vt:lpstr>
      <vt:lpstr>OpCost!Print_Titles</vt:lpstr>
      <vt:lpstr>OpRev!Print_Titles</vt:lpstr>
      <vt:lpstr>Tax!Print_Titles</vt:lpstr>
      <vt:lpstr>Temp!Print_Titles</vt:lpstr>
      <vt:lpstr>Time!Print_Titles</vt:lpstr>
      <vt:lpstr>Valn!Print_Titles</vt:lpstr>
      <vt:lpstr>WorkCap!Print_Titles</vt:lpstr>
      <vt:lpstr>smu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dc:creator>
  <dc:description>stephengugu@gmail.com</dc:description>
  <cp:lastModifiedBy>Charles Nzioka</cp:lastModifiedBy>
  <cp:lastPrinted>2025-11-18T06:45:27Z</cp:lastPrinted>
  <dcterms:created xsi:type="dcterms:W3CDTF">2004-05-12T17:06:52Z</dcterms:created>
  <dcterms:modified xsi:type="dcterms:W3CDTF">2025-12-11T13:08:38Z</dcterms:modified>
</cp:coreProperties>
</file>